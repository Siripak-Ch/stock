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b4abad63f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4feabf5ff2452d"/>
    <x:sheet xmlns:r="http://schemas.openxmlformats.org/officeDocument/2006/relationships" name="DB_Devices_Clean" sheetId="2" r:id="Rdd6d0a0720ff4889"/>
    <x:sheet xmlns:r="http://schemas.openxmlformats.org/officeDocument/2006/relationships" name="DB_Rental_History_Clean" sheetId="3" r:id="Rd29765827dda4e53"/>
    <x:sheet xmlns:r="http://schemas.openxmlformats.org/officeDocument/2006/relationships" name="Accessories_Clean" sheetId="4" r:id="R30f266c88aca4c53"/>
    <x:sheet xmlns:r="http://schemas.openxmlformats.org/officeDocument/2006/relationships" name="Lists" sheetId="5" r:id="Re280ba56ee5f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3DA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003DA5"/>
      </x:font>
      <x:fill>
        <x:patternFill patternType="solid">
          <x:bgColor rgb="FFDBE4FF"/>
        </x:patternFill>
      </x:fill>
    </x:dxf>
    <x:dxf>
      <x:font>
        <x:b/>
        <x:color rgb="FF5B7F95"/>
      </x:font>
      <x:fill>
        <x:patternFill patternType="solid">
          <x:bgColor rgb="FFF1F5F9"/>
        </x:patternFill>
      </x:fill>
    </x:dxf>
    <x:dxf>
      <x:font>
        <x:b/>
        <x:color rgb="FF0E7490"/>
      </x:font>
      <x:fill>
        <x:patternFill patternType="solid">
          <x:bgColor rgb="FFE0F7FA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01393d05342cb" /><Relationship Type="http://schemas.openxmlformats.org/officeDocument/2006/relationships/theme" Target="/xl/theme/theme1.xml" Id="Rdc5b5150a5e542c5" /><Relationship Type="http://schemas.openxmlformats.org/officeDocument/2006/relationships/sharedStrings" Target="/xl/sharedStrings.xml" Id="R971a542866e8465e" /><Relationship Type="http://schemas.openxmlformats.org/officeDocument/2006/relationships/worksheet" Target="/xl/worksheets/sheet1.xml" Id="R734feabf5ff2452d" /><Relationship Type="http://schemas.openxmlformats.org/officeDocument/2006/relationships/worksheet" Target="/xl/worksheets/sheet2.xml" Id="Rdd6d0a0720ff4889" /><Relationship Type="http://schemas.openxmlformats.org/officeDocument/2006/relationships/worksheet" Target="/xl/worksheets/sheet3.xml" Id="Rd29765827dda4e53" /><Relationship Type="http://schemas.openxmlformats.org/officeDocument/2006/relationships/worksheet" Target="/xl/worksheets/sheet4.xml" Id="R30f266c88aca4c53" /><Relationship Type="http://schemas.openxmlformats.org/officeDocument/2006/relationships/worksheet" Target="/xl/worksheets/sheet5.xml" Id="Re280ba56ee5f43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76ec1e994544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Infusion Pump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'Summary'!$A$12:$A$16</c:f>
              <c:strCache>
                <c:ptCount val="0"/>
              </c:strCache>
            </c:strRef>
          </c:cat>
          <c:val>
            <c:numRef>
              <c:f>'Summary'!$B$12:$B$16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6ec1e994544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StatusSummaryTable" displayName="StatusSummaryTable" ref="A11:C17" headerRowCount="1">
  <x:tableColumns count="3">
    <x:tableColumn id="1" name="Status"/>
    <x:tableColumn id="2" name="จำนวน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5" name="ModelSummaryTable" displayName="ModelSummaryTable" ref="A21:G24" headerRowCount="1">
  <x:tableColumns count="7">
    <x:tableColumn id="1" name="Model"/>
    <x:tableColumn id="2" name="Total"/>
    <x:tableColumn id="3" name="พร้อมส่ง"/>
    <x:tableColumn id="4" name="รอสอบเทียบ"/>
    <x:tableColumn id="5" name="เช่ายืม"/>
    <x:tableColumn id="6" name="ใช้งานไม่ได้"/>
    <x:tableColumn id="7" name="ไม่พบในรายการ"/>
  </x:tableColumns>
  <x:tableStyleInfo name="TableStyleMedium2" showRowStripes="1"/>
</x:table>
</file>

<file path=xl/tables/table3.xml><?xml version="1.0" encoding="utf-8"?>
<x:table xmlns:x="http://schemas.openxmlformats.org/spreadsheetml/2006/main" id="6" name="LocationSummaryTable" displayName="LocationSummaryTable" ref="I21:N45" headerRowCount="1">
  <x:tableColumns count="6">
    <x:tableColumn id="1" name="Location"/>
    <x:tableColumn id="2" name="Total"/>
    <x:tableColumn id="3" name="พร้อมส่ง"/>
    <x:tableColumn id="4" name="รอสอบเทียบ"/>
    <x:tableColumn id="5" name="เช่ายืม"/>
    <x:tableColumn id="6" name="Risk"/>
  </x:tableColumns>
  <x:tableStyleInfo name="TableStyleMedium2" showRowStripes="1"/>
</x:table>
</file>

<file path=xl/tables/table4.xml><?xml version="1.0" encoding="utf-8"?>
<x:table xmlns:x="http://schemas.openxmlformats.org/spreadsheetml/2006/main" id="1" name="InventoryTable" displayName="InventoryTable" ref="A1:M566" headerRowCount="1">
  <x:tableColumns count="13">
    <x:tableColumn id="1" name="id_code"/>
    <x:tableColumn id="2" name="serial_number"/>
    <x:tableColumn id="3" name="brand"/>
    <x:tableColumn id="4" name="model"/>
    <x:tableColumn id="5" name="item_name"/>
    <x:tableColumn id="6" name="category"/>
    <x:tableColumn id="7" name="location"/>
    <x:tableColumn id="8" name="base_status"/>
    <x:tableColumn id="9" name="dq_status"/>
    <x:tableColumn id="10" name="rental_status"/>
    <x:tableColumn id="11" name="action_required"/>
    <x:tableColumn id="12" name="recheck_note"/>
    <x:tableColumn id="13" name="display_status"/>
  </x:tableColumns>
  <x:tableStyleInfo name="TableStyleMedium2" showRowStripes="1"/>
</x:table>
</file>

<file path=xl/tables/table5.xml><?xml version="1.0" encoding="utf-8"?>
<x:table xmlns:x="http://schemas.openxmlformats.org/spreadsheetml/2006/main" id="2" name="RentalHistoryTable" displayName="RentalHistoryTable" ref="A1:S301" headerRowCount="1">
  <x:tableColumns count="19">
    <x:tableColumn id="1" name="rental_id"/>
    <x:tableColumn id="2" name="id_code"/>
    <x:tableColumn id="3" name="serial_number"/>
    <x:tableColumn id="4" name="brand"/>
    <x:tableColumn id="5" name="model"/>
    <x:tableColumn id="6" name="borrower"/>
    <x:tableColumn id="7" name="location"/>
    <x:tableColumn id="8" name="borrow_date"/>
    <x:tableColumn id="9" name="duration_month"/>
    <x:tableColumn id="10" name="expected_return_date"/>
    <x:tableColumn id="11" name="return_date"/>
    <x:tableColumn id="12" name="due_date"/>
    <x:tableColumn id="13" name="days_remaining"/>
    <x:tableColumn id="14" name="overdue_days"/>
    <x:tableColumn id="15" name="rental_status"/>
    <x:tableColumn id="16" name="final_status_after_rental"/>
    <x:tableColumn id="17" name="action_required"/>
    <x:tableColumn id="18" name="note"/>
    <x:tableColumn id="19" name="source_row"/>
  </x:tableColumns>
  <x:tableStyleInfo name="TableStyleMedium2" showRowStripes="1"/>
</x:table>
</file>

<file path=xl/tables/table6.xml><?xml version="1.0" encoding="utf-8"?>
<x:table xmlns:x="http://schemas.openxmlformats.org/spreadsheetml/2006/main" id="3" name="AccessoriesTable" displayName="AccessoriesTable" ref="A1:W64" headerRowCount="1">
  <x:tableColumns count="23">
    <x:tableColumn id="1" name="accessory_id"/>
    <x:tableColumn id="2" name="team"/>
    <x:tableColumn id="3" name="item_name"/>
    <x:tableColumn id="4" name="stock_qty"/>
    <x:tableColumn id="5" name="min_stock_qty"/>
    <x:tableColumn id="6" name="status"/>
    <x:tableColumn id="7" name="action_required"/>
    <x:tableColumn id="8" name="check_interval_code"/>
    <x:tableColumn id="9" name="check_interval_days"/>
    <x:tableColumn id="10" name="criticality"/>
    <x:tableColumn id="11" name="last_check_date"/>
    <x:tableColumn id="12" name="next_check_date"/>
    <x:tableColumn id="13" name="days_to_check"/>
    <x:tableColumn id="14" name="check_status"/>
    <x:tableColumn id="15" name="alert_flag"/>
    <x:tableColumn id="16" name="physical_qty"/>
    <x:tableColumn id="17" name="stock_gap"/>
    <x:tableColumn id="18" name="check_note"/>
    <x:tableColumn id="19" name="checked_by"/>
    <x:tableColumn id="20" name="last_check_timestamp"/>
    <x:tableColumn id="21" name="stock_gap_to_min"/>
    <x:tableColumn id="22" name="stock_status"/>
    <x:tableColumn id="23" name="check_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868d80630a42b2" /><Relationship Type="http://schemas.openxmlformats.org/officeDocument/2006/relationships/table" Target="/xl/tables/table1.xml" Id="Rdfb085e5bdff4ddb" /><Relationship Type="http://schemas.openxmlformats.org/officeDocument/2006/relationships/table" Target="/xl/tables/table2.xml" Id="Rdf4edab3cb644033" /><Relationship Type="http://schemas.openxmlformats.org/officeDocument/2006/relationships/table" Target="/xl/tables/table3.xml" Id="Rf9e80f07be8142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c399b5d175854c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453ae0f52fb548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f435dc2e8697421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10" hidden="0" customWidth="1"/>
    <x:col min="5" max="5" width="24" hidden="0" customWidth="1"/>
    <x:col min="6" max="6" width="18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6" t="str">
        <x:v>Infusion Pump Inventory – Final Summary</x:v>
      </x:c>
      <x:c r="B1" s="16"/>
      <x:c r="C1" s="16"/>
      <x:c r="D1" s="16"/>
      <x:c r="E1" s="16"/>
      <x:c r="F1" s="16"/>
      <x:c r="G1" s="16"/>
      <x:c r="H1" s="16"/>
      <x:c r="I1" s="17"/>
      <x:c r="J1" s="17"/>
      <x:c r="K1" s="17"/>
      <x:c r="L1" s="17"/>
      <x:c r="M1" s="17"/>
      <x:c r="N1" s="17"/>
    </x:row>
    <x:row r="2">
      <x:c r="A2" s="17" t="str">
        <x:v>Last updated</x:v>
      </x:c>
      <x:c r="B2" s="17" t="str">
        <x:v>2026-06-19 02:28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8" t="str">
        <x:v>Status</x:v>
      </x:c>
      <x:c r="B4" s="18" t="str">
        <x:v>คำอธิบาย / Logic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7" t="str">
        <x:v>พร้อมส่ง</x:v>
      </x:c>
      <x:c r="B5" s="17" t="str">
        <x:v>แก้ไข/เลือกเมื่อเครื่องผ่านสอบเทียบและพร้อมส่ง</x:v>
      </x:c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>
      <x:c r="A6" s="17" t="str">
        <x:v>รอสอบเทียบ</x:v>
      </x:c>
      <x:c r="B6" s="17" t="str">
        <x:v>เครื่องทั้งหมดที่ไม่ได้เช่ายืม และไม่ใช่ใช้งานไม่ได้/ไม่พบในรายการ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>
      <x:c r="A7" s="17" t="str">
        <x:v>เช่ายืม</x:v>
      </x:c>
      <x:c r="B7" s="17" t="str">
        <x:v>เครื่องที่เช่าอยู่</x:v>
      </x:c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</x:row>
    <x:row r="8">
      <x:c r="A8" s="17" t="str">
        <x:v>ใช้งานไม่ได้</x:v>
      </x:c>
      <x:c r="B8" s="17" t="str">
        <x:v>เครื่องเสีย/ชำรุด/ไม่พร้อมใช้งาน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>
      <x:c r="A9" s="17" t="str">
        <x:v>ไม่พบในรายการ</x:v>
      </x:c>
      <x:c r="B9" s="17" t="str">
        <x:v>เครื่องหาย/หาไม่พบ/ไม่พบในรายการตรวจนับ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>
      <x:c r="A11" s="18" t="str">
        <x:v>Status</x:v>
      </x:c>
      <x:c r="B11" s="18" t="str">
        <x:v>จำนวน</x:v>
      </x:c>
      <x:c r="C11" s="18" t="str">
        <x:v>%</x:v>
      </x:c>
      <x:c r="D11" s="17"/>
      <x:c r="E11" s="18" t="str">
        <x:v>Data Check</x:v>
      </x:c>
      <x:c r="F11" s="18" t="str">
        <x:v>สูตร/ผลตรวจ</x:v>
      </x:c>
      <x:c r="G11" s="17"/>
      <x:c r="H11" s="17"/>
      <x:c r="I11" s="17"/>
      <x:c r="J11" s="17"/>
      <x:c r="K11" s="17"/>
      <x:c r="L11" s="17"/>
      <x:c r="M11" s="17"/>
      <x:c r="N11" s="17"/>
    </x:row>
    <x:row r="12">
      <x:c r="A12" s="17" t="str">
        <x:v>พร้อมส่ง</x:v>
      </x:c>
      <x:c r="B12" s="24" t="n">
        <x:f>COUNTIF(DB_Devices_Clean!$M:$M,A12)</x:f>
        <x:v>0</x:v>
      </x:c>
      <x:c r="C12" s="22" t="n">
        <x:f>IF($B$17=0,0,B12/$B$17)</x:f>
        <x:v>0</x:v>
      </x:c>
      <x:c r="D12" s="17"/>
      <x:c r="E12" s="17" t="str">
        <x:v>Total inventory rows</x:v>
      </x:c>
      <x:c r="F12" s="24" t="n">
        <x:f>COUNTA(DB_Devices_Clean!$A$2:$A$566)</x:f>
        <x:v>565</x:v>
      </x:c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 t="str">
        <x:v>รอสอบเทียบ</x:v>
      </x:c>
      <x:c r="B13" s="24" t="n">
        <x:f>COUNTIF(DB_Devices_Clean!$M:$M,A13)</x:f>
        <x:v>302</x:v>
      </x:c>
      <x:c r="C13" s="22" t="n">
        <x:f>IF($B$17=0,0,B13/$B$17)</x:f>
        <x:v>0.5345132743362832</x:v>
      </x:c>
      <x:c r="D13" s="17"/>
      <x:c r="E13" s="17" t="str">
        <x:v>Duplicate ID rows</x:v>
      </x:c>
      <x:c r="F13" s="24" t="n">
        <x:f>SUMPRODUCT(--(DB_Devices_Clean!$A$2:$A$566&lt;&gt;""),--(COUNTIF(DB_Devices_Clean!$A$2:$A$566,DB_Devices_Clean!$A$2:$A$566)&gt;1))</x:f>
        <x:v>0</x:v>
      </x:c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 t="str">
        <x:v>เช่ายืม</x:v>
      </x:c>
      <x:c r="B14" s="24" t="n">
        <x:f>COUNTIF(DB_Devices_Clean!$M:$M,A14)</x:f>
        <x:v>263</x:v>
      </x:c>
      <x:c r="C14" s="22" t="n">
        <x:f>IF($B$17=0,0,B14/$B$17)</x:f>
        <x:v>0.4654867256637168</x:v>
      </x:c>
      <x:c r="D14" s="17"/>
      <x:c r="E14" s="17" t="str">
        <x:v>Duplicate Serial rows</x:v>
      </x:c>
      <x:c r="F14" s="24" t="n">
        <x:f>SUMPRODUCT(--(DB_Devices_Clean!$B$2:$B$566&lt;&gt;""),--(COUNTIF(DB_Devices_Clean!$B$2:$B$566,DB_Devices_Clean!$B$2:$B$566)&gt;1))</x:f>
        <x:v>0</x:v>
      </x:c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 t="str">
        <x:v>ใช้งานไม่ได้</x:v>
      </x:c>
      <x:c r="B15" s="24" t="n">
        <x:f>COUNTIF(DB_Devices_Clean!$M:$M,A15)</x:f>
        <x:v>0</x:v>
      </x:c>
      <x:c r="C15" s="22" t="n">
        <x:f>IF($B$17=0,0,B15/$B$17)</x:f>
        <x:v>0</x:v>
      </x:c>
      <x:c r="D15" s="17"/>
      <x:c r="E15" s="17" t="str">
        <x:v>Rented in inventory</x:v>
      </x:c>
      <x:c r="F15" s="24" t="n">
        <x:f>COUNTIF(DB_Devices_Clean!$M:$M,"เช่ายืม")</x:f>
        <x:v>263</x:v>
      </x:c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 t="str">
        <x:v>ไม่พบในรายการ</x:v>
      </x:c>
      <x:c r="B16" s="24" t="n">
        <x:f>COUNTIF(DB_Devices_Clean!$M:$M,A16)</x:f>
        <x:v>0</x:v>
      </x:c>
      <x:c r="C16" s="22" t="n">
        <x:f>IF($B$17=0,0,B16/$B$17)</x:f>
        <x:v>0</x:v>
      </x:c>
      <x:c r="D16" s="17"/>
      <x:c r="E16" s="17" t="str">
        <x:v>Not rented / recheck</x:v>
      </x:c>
      <x:c r="F16" s="24" t="n">
        <x:f>COUNTIF(DB_Devices_Clean!$M:$M,"รอสอบเทียบ")</x:f>
        <x:v>302</x:v>
      </x:c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 t="str">
        <x:v>รวม</x:v>
      </x:c>
      <x:c r="B17" s="24" t="n">
        <x:f>SUM(B12:B16)</x:f>
        <x:v>565</x:v>
      </x:c>
      <x:c r="C17" s="22" t="n">
        <x:f>SUM(C12:C16)</x:f>
        <x:v>1</x:v>
      </x:c>
      <x:c r="D17" s="17"/>
      <x:c r="E17" s="17" t="str">
        <x:v>Sheets kept</x:v>
      </x:c>
      <x:c r="F17" s="24" t="n">
        <x:v>5</x:v>
      </x:c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8" t="str">
        <x:v>Model</x:v>
      </x:c>
      <x:c r="B21" s="18" t="str">
        <x:v>Total</x:v>
      </x:c>
      <x:c r="C21" s="18" t="str">
        <x:v>พร้อมส่ง</x:v>
      </x:c>
      <x:c r="D21" s="18" t="str">
        <x:v>รอสอบเทียบ</x:v>
      </x:c>
      <x:c r="E21" s="18" t="str">
        <x:v>เช่ายืม</x:v>
      </x:c>
      <x:c r="F21" s="18" t="str">
        <x:v>ใช้งานไม่ได้</x:v>
      </x:c>
      <x:c r="G21" s="18" t="str">
        <x:v>ไม่พบในรายการ</x:v>
      </x:c>
      <x:c r="H21" s="17"/>
      <x:c r="I21" s="18" t="str">
        <x:v>Location</x:v>
      </x:c>
      <x:c r="J21" s="18" t="str">
        <x:v>Total</x:v>
      </x:c>
      <x:c r="K21" s="18" t="str">
        <x:v>พร้อมส่ง</x:v>
      </x:c>
      <x:c r="L21" s="18" t="str">
        <x:v>รอสอบเทียบ</x:v>
      </x:c>
      <x:c r="M21" s="18" t="str">
        <x:v>เช่ายืม</x:v>
      </x:c>
      <x:c r="N21" s="18" t="str">
        <x:v>Risk</x:v>
      </x:c>
    </x:row>
    <x:row r="22">
      <x:c r="A22" s="17" t="str">
        <x:v>Infusomat Space</x:v>
      </x:c>
      <x:c r="B22" s="17" t="n">
        <x:f>COUNTIF(DB_Devices_Clean!$D:$D,A22)</x:f>
        <x:v>276</x:v>
      </x:c>
      <x:c r="C22" s="17" t="n">
        <x:f>COUNTIFS(DB_Devices_Clean!$D:$D,A22,DB_Devices_Clean!$M:$M,C$21)</x:f>
        <x:v>0</x:v>
      </x:c>
      <x:c r="D22" s="17" t="n">
        <x:f>COUNTIFS(DB_Devices_Clean!$D:$D,A22,DB_Devices_Clean!$M:$M,D$21)</x:f>
        <x:v>156</x:v>
      </x:c>
      <x:c r="E22" s="17" t="n">
        <x:f>COUNTIFS(DB_Devices_Clean!$D:$D,A22,DB_Devices_Clean!$M:$M,E$21)</x:f>
        <x:v>120</x:v>
      </x:c>
      <x:c r="F22" s="17" t="n">
        <x:f>COUNTIFS(DB_Devices_Clean!$D:$D,A22,DB_Devices_Clean!$M:$M,F$21)</x:f>
        <x:v>0</x:v>
      </x:c>
      <x:c r="G22" s="17" t="n">
        <x:f>COUNTIFS(DB_Devices_Clean!$D:$D,A22,DB_Devices_Clean!$M:$M,G$21)</x:f>
        <x:v>0</x:v>
      </x:c>
      <x:c r="H22" s="17"/>
      <x:c r="I22" s="17" t="str">
        <x:v>ABSOLUTE HEALTH CLINIC</x:v>
      </x:c>
      <x:c r="J22" s="17" t="n">
        <x:f>COUNTIF(DB_Devices_Clean!$G:$G,I22)</x:f>
        <x:v>25</x:v>
      </x:c>
      <x:c r="K22" s="17" t="n">
        <x:f>COUNTIFS(DB_Devices_Clean!$G:$G,I22,DB_Devices_Clean!$M:$M,K$21)</x:f>
        <x:v>0</x:v>
      </x:c>
      <x:c r="L22" s="17" t="n">
        <x:f>COUNTIFS(DB_Devices_Clean!$G:$G,I22,DB_Devices_Clean!$M:$M,L$21)</x:f>
        <x:v>0</x:v>
      </x:c>
      <x:c r="M22" s="17" t="n">
        <x:f>COUNTIFS(DB_Devices_Clean!$G:$G,I22,DB_Devices_Clean!$M:$M,M$21)</x:f>
        <x:v>25</x:v>
      </x:c>
      <x:c r="N22" s="17" t="n">
        <x:f>COUNTIFS(DB_Devices_Clean!$G:$G,I22,DB_Devices_Clean!$M:$M,"ใช้งานไม่ได้")+COUNTIFS(DB_Devices_Clean!$G:$G,I22,DB_Devices_Clean!$M:$M,"ไม่พบในรายการ")</x:f>
        <x:v>0</x:v>
      </x:c>
    </x:row>
    <x:row r="23">
      <x:c r="A23" s="17" t="str">
        <x:v>Spaceplus</x:v>
      </x:c>
      <x:c r="B23" s="17" t="n">
        <x:f>COUNTIF(DB_Devices_Clean!$D:$D,A23)</x:f>
        <x:v>60</x:v>
      </x:c>
      <x:c r="C23" s="17" t="n">
        <x:f>COUNTIFS(DB_Devices_Clean!$D:$D,A23,DB_Devices_Clean!$M:$M,C$21)</x:f>
        <x:v>0</x:v>
      </x:c>
      <x:c r="D23" s="17" t="n">
        <x:f>COUNTIFS(DB_Devices_Clean!$D:$D,A23,DB_Devices_Clean!$M:$M,D$21)</x:f>
        <x:v>3</x:v>
      </x:c>
      <x:c r="E23" s="17" t="n">
        <x:f>COUNTIFS(DB_Devices_Clean!$D:$D,A23,DB_Devices_Clean!$M:$M,E$21)</x:f>
        <x:v>57</x:v>
      </x:c>
      <x:c r="F23" s="17" t="n">
        <x:f>COUNTIFS(DB_Devices_Clean!$D:$D,A23,DB_Devices_Clean!$M:$M,F$21)</x:f>
        <x:v>0</x:v>
      </x:c>
      <x:c r="G23" s="17" t="n">
        <x:f>COUNTIFS(DB_Devices_Clean!$D:$D,A23,DB_Devices_Clean!$M:$M,G$21)</x:f>
        <x:v>0</x:v>
      </x:c>
      <x:c r="H23" s="17"/>
      <x:c r="I23" s="17" t="str">
        <x:v>Absolute Health Bangkok</x:v>
      </x:c>
      <x:c r="J23" s="17" t="n">
        <x:f>COUNTIF(DB_Devices_Clean!$G:$G,I23)</x:f>
        <x:v>1</x:v>
      </x:c>
      <x:c r="K23" s="17" t="n">
        <x:f>COUNTIFS(DB_Devices_Clean!$G:$G,I23,DB_Devices_Clean!$M:$M,K$21)</x:f>
        <x:v>0</x:v>
      </x:c>
      <x:c r="L23" s="17" t="n">
        <x:f>COUNTIFS(DB_Devices_Clean!$G:$G,I23,DB_Devices_Clean!$M:$M,L$21)</x:f>
        <x:v>0</x:v>
      </x:c>
      <x:c r="M23" s="17" t="n">
        <x:f>COUNTIFS(DB_Devices_Clean!$G:$G,I23,DB_Devices_Clean!$M:$M,M$21)</x:f>
        <x:v>1</x:v>
      </x:c>
      <x:c r="N23" s="17" t="n">
        <x:f>COUNTIFS(DB_Devices_Clean!$G:$G,I23,DB_Devices_Clean!$M:$M,"ใช้งานไม่ได้")+COUNTIFS(DB_Devices_Clean!$G:$G,I23,DB_Devices_Clean!$M:$M,"ไม่พบในรายการ")</x:f>
        <x:v>0</x:v>
      </x:c>
    </x:row>
    <x:row r="24">
      <x:c r="A24" s="17" t="str">
        <x:v>Sunfusion Semi-2</x:v>
      </x:c>
      <x:c r="B24" s="17" t="n">
        <x:f>COUNTIF(DB_Devices_Clean!$D:$D,A24)</x:f>
        <x:v>229</x:v>
      </x:c>
      <x:c r="C24" s="17" t="n">
        <x:f>COUNTIFS(DB_Devices_Clean!$D:$D,A24,DB_Devices_Clean!$M:$M,C$21)</x:f>
        <x:v>0</x:v>
      </x:c>
      <x:c r="D24" s="17" t="n">
        <x:f>COUNTIFS(DB_Devices_Clean!$D:$D,A24,DB_Devices_Clean!$M:$M,D$21)</x:f>
        <x:v>143</x:v>
      </x:c>
      <x:c r="E24" s="17" t="n">
        <x:f>COUNTIFS(DB_Devices_Clean!$D:$D,A24,DB_Devices_Clean!$M:$M,E$21)</x:f>
        <x:v>86</x:v>
      </x:c>
      <x:c r="F24" s="17" t="n">
        <x:f>COUNTIFS(DB_Devices_Clean!$D:$D,A24,DB_Devices_Clean!$M:$M,F$21)</x:f>
        <x:v>0</x:v>
      </x:c>
      <x:c r="G24" s="17" t="n">
        <x:f>COUNTIFS(DB_Devices_Clean!$D:$D,A24,DB_Devices_Clean!$M:$M,G$21)</x:f>
        <x:v>0</x:v>
      </x:c>
      <x:c r="H24" s="17"/>
      <x:c r="I24" s="17" t="str">
        <x:v>BCM</x:v>
      </x:c>
      <x:c r="J24" s="17" t="n">
        <x:f>COUNTIF(DB_Devices_Clean!$G:$G,I24)</x:f>
        <x:v>10</x:v>
      </x:c>
      <x:c r="K24" s="17" t="n">
        <x:f>COUNTIFS(DB_Devices_Clean!$G:$G,I24,DB_Devices_Clean!$M:$M,K$21)</x:f>
        <x:v>0</x:v>
      </x:c>
      <x:c r="L24" s="17" t="n">
        <x:f>COUNTIFS(DB_Devices_Clean!$G:$G,I24,DB_Devices_Clean!$M:$M,L$21)</x:f>
        <x:v>0</x:v>
      </x:c>
      <x:c r="M24" s="17" t="n">
        <x:f>COUNTIFS(DB_Devices_Clean!$G:$G,I24,DB_Devices_Clean!$M:$M,M$21)</x:f>
        <x:v>10</x:v>
      </x:c>
      <x:c r="N24" s="17" t="n">
        <x:f>COUNTIFS(DB_Devices_Clean!$G:$G,I24,DB_Devices_Clean!$M:$M,"ใช้งานไม่ได้")+COUNTIFS(DB_Devices_Clean!$G:$G,I24,DB_Devices_Clean!$M:$M,"ไม่พบในรายการ")</x:f>
        <x:v>0</x:v>
      </x:c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str">
        <x:v>BHP</x:v>
      </x:c>
      <x:c r="J25" s="17" t="n">
        <x:f>COUNTIF(DB_Devices_Clean!$G:$G,I25)</x:f>
        <x:v>20</x:v>
      </x:c>
      <x:c r="K25" s="17" t="n">
        <x:f>COUNTIFS(DB_Devices_Clean!$G:$G,I25,DB_Devices_Clean!$M:$M,K$21)</x:f>
        <x:v>0</x:v>
      </x:c>
      <x:c r="L25" s="17" t="n">
        <x:f>COUNTIFS(DB_Devices_Clean!$G:$G,I25,DB_Devices_Clean!$M:$M,L$21)</x:f>
        <x:v>0</x:v>
      </x:c>
      <x:c r="M25" s="17" t="n">
        <x:f>COUNTIFS(DB_Devices_Clean!$G:$G,I25,DB_Devices_Clean!$M:$M,M$21)</x:f>
        <x:v>20</x:v>
      </x:c>
      <x:c r="N25" s="17" t="n">
        <x:f>COUNTIFS(DB_Devices_Clean!$G:$G,I25,DB_Devices_Clean!$M:$M,"ใช้งานไม่ได้")+COUNTIFS(DB_Devices_Clean!$G:$G,I25,DB_Devices_Clean!$M:$M,"ไม่พบในรายการ")</x:f>
        <x:v>0</x:v>
      </x:c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 t="str">
        <x:v>BME-BKN</x:v>
      </x:c>
      <x:c r="J26" s="17" t="n">
        <x:f>COUNTIF(DB_Devices_Clean!$G:$G,I26)</x:f>
        <x:v>30</x:v>
      </x:c>
      <x:c r="K26" s="17" t="n">
        <x:f>COUNTIFS(DB_Devices_Clean!$G:$G,I26,DB_Devices_Clean!$M:$M,K$21)</x:f>
        <x:v>0</x:v>
      </x:c>
      <x:c r="L26" s="17" t="n">
        <x:f>COUNTIFS(DB_Devices_Clean!$G:$G,I26,DB_Devices_Clean!$M:$M,L$21)</x:f>
        <x:v>0</x:v>
      </x:c>
      <x:c r="M26" s="17" t="n">
        <x:f>COUNTIFS(DB_Devices_Clean!$G:$G,I26,DB_Devices_Clean!$M:$M,M$21)</x:f>
        <x:v>30</x:v>
      </x:c>
      <x:c r="N26" s="17" t="n">
        <x:f>COUNTIFS(DB_Devices_Clean!$G:$G,I26,DB_Devices_Clean!$M:$M,"ใช้งานไม่ได้")+COUNTIFS(DB_Devices_Clean!$G:$G,I26,DB_Devices_Clean!$M:$M,"ไม่พบในรายการ")</x:f>
        <x:v>0</x:v>
      </x:c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 t="str">
        <x:v>CES-BCM</x:v>
      </x:c>
      <x:c r="J27" s="17" t="n">
        <x:f>COUNTIF(DB_Devices_Clean!$G:$G,I27)</x:f>
        <x:v>18</x:v>
      </x:c>
      <x:c r="K27" s="17" t="n">
        <x:f>COUNTIFS(DB_Devices_Clean!$G:$G,I27,DB_Devices_Clean!$M:$M,K$21)</x:f>
        <x:v>0</x:v>
      </x:c>
      <x:c r="L27" s="17" t="n">
        <x:f>COUNTIFS(DB_Devices_Clean!$G:$G,I27,DB_Devices_Clean!$M:$M,L$21)</x:f>
        <x:v>0</x:v>
      </x:c>
      <x:c r="M27" s="17" t="n">
        <x:f>COUNTIFS(DB_Devices_Clean!$G:$G,I27,DB_Devices_Clean!$M:$M,M$21)</x:f>
        <x:v>18</x:v>
      </x:c>
      <x:c r="N27" s="17" t="n">
        <x:f>COUNTIFS(DB_Devices_Clean!$G:$G,I27,DB_Devices_Clean!$M:$M,"ใช้งานไม่ได้")+COUNTIFS(DB_Devices_Clean!$G:$G,I27,DB_Devices_Clean!$M:$M,"ไม่พบในรายการ")</x:f>
        <x:v>0</x:v>
      </x:c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 t="str">
        <x:v>CES-BPL</x:v>
      </x:c>
      <x:c r="J28" s="17" t="n">
        <x:f>COUNTIF(DB_Devices_Clean!$G:$G,I28)</x:f>
        <x:v>13</x:v>
      </x:c>
      <x:c r="K28" s="17" t="n">
        <x:f>COUNTIFS(DB_Devices_Clean!$G:$G,I28,DB_Devices_Clean!$M:$M,K$21)</x:f>
        <x:v>0</x:v>
      </x:c>
      <x:c r="L28" s="17" t="n">
        <x:f>COUNTIFS(DB_Devices_Clean!$G:$G,I28,DB_Devices_Clean!$M:$M,L$21)</x:f>
        <x:v>0</x:v>
      </x:c>
      <x:c r="M28" s="17" t="n">
        <x:f>COUNTIFS(DB_Devices_Clean!$G:$G,I28,DB_Devices_Clean!$M:$M,M$21)</x:f>
        <x:v>13</x:v>
      </x:c>
      <x:c r="N28" s="17" t="n">
        <x:f>COUNTIFS(DB_Devices_Clean!$G:$G,I28,DB_Devices_Clean!$M:$M,"ใช้งานไม่ได้")+COUNTIFS(DB_Devices_Clean!$G:$G,I28,DB_Devices_Clean!$M:$M,"ไม่พบในรายการ")</x:f>
        <x:v>0</x:v>
      </x:c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 t="str">
        <x:v>DEMO ศบศ</x:v>
      </x:c>
      <x:c r="J29" s="17" t="n">
        <x:f>COUNTIF(DB_Devices_Clean!$G:$G,I29)</x:f>
        <x:v>3</x:v>
      </x:c>
      <x:c r="K29" s="17" t="n">
        <x:f>COUNTIFS(DB_Devices_Clean!$G:$G,I29,DB_Devices_Clean!$M:$M,K$21)</x:f>
        <x:v>0</x:v>
      </x:c>
      <x:c r="L29" s="17" t="n">
        <x:f>COUNTIFS(DB_Devices_Clean!$G:$G,I29,DB_Devices_Clean!$M:$M,L$21)</x:f>
        <x:v>0</x:v>
      </x:c>
      <x:c r="M29" s="17" t="n">
        <x:f>COUNTIFS(DB_Devices_Clean!$G:$G,I29,DB_Devices_Clean!$M:$M,M$21)</x:f>
        <x:v>3</x:v>
      </x:c>
      <x:c r="N29" s="17" t="n">
        <x:f>COUNTIFS(DB_Devices_Clean!$G:$G,I29,DB_Devices_Clean!$M:$M,"ใช้งานไม่ได้")+COUNTIFS(DB_Devices_Clean!$G:$G,I29,DB_Devices_Clean!$M:$M,"ไม่พบในรายการ")</x:f>
        <x:v>0</x:v>
      </x:c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 t="str">
        <x:v>Duangjai Boontanom</x:v>
      </x:c>
      <x:c r="J30" s="17" t="n">
        <x:f>COUNTIF(DB_Devices_Clean!$G:$G,I30)</x:f>
        <x:v>1</x:v>
      </x:c>
      <x:c r="K30" s="17" t="n">
        <x:f>COUNTIFS(DB_Devices_Clean!$G:$G,I30,DB_Devices_Clean!$M:$M,K$21)</x:f>
        <x:v>0</x:v>
      </x:c>
      <x:c r="L30" s="17" t="n">
        <x:f>COUNTIFS(DB_Devices_Clean!$G:$G,I30,DB_Devices_Clean!$M:$M,L$21)</x:f>
        <x:v>0</x:v>
      </x:c>
      <x:c r="M30" s="17" t="n">
        <x:f>COUNTIFS(DB_Devices_Clean!$G:$G,I30,DB_Devices_Clean!$M:$M,M$21)</x:f>
        <x:v>1</x:v>
      </x:c>
      <x:c r="N30" s="17" t="n">
        <x:f>COUNTIFS(DB_Devices_Clean!$G:$G,I30,DB_Devices_Clean!$M:$M,"ใช้งานไม่ได้")+COUNTIFS(DB_Devices_Clean!$G:$G,I30,DB_Devices_Clean!$M:$M,"ไม่พบในรายการ")</x:f>
        <x:v>0</x:v>
      </x:c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 t="str">
        <x:v>GJ</x:v>
      </x:c>
      <x:c r="J31" s="17" t="n">
        <x:f>COUNTIF(DB_Devices_Clean!$G:$G,I31)</x:f>
        <x:v>50</x:v>
      </x:c>
      <x:c r="K31" s="17" t="n">
        <x:f>COUNTIFS(DB_Devices_Clean!$G:$G,I31,DB_Devices_Clean!$M:$M,K$21)</x:f>
        <x:v>0</x:v>
      </x:c>
      <x:c r="L31" s="17" t="n">
        <x:f>COUNTIFS(DB_Devices_Clean!$G:$G,I31,DB_Devices_Clean!$M:$M,L$21)</x:f>
        <x:v>0</x:v>
      </x:c>
      <x:c r="M31" s="17" t="n">
        <x:f>COUNTIFS(DB_Devices_Clean!$G:$G,I31,DB_Devices_Clean!$M:$M,M$21)</x:f>
        <x:v>50</x:v>
      </x:c>
      <x:c r="N31" s="17" t="n">
        <x:f>COUNTIFS(DB_Devices_Clean!$G:$G,I31,DB_Devices_Clean!$M:$M,"ใช้งานไม่ได้")+COUNTIFS(DB_Devices_Clean!$G:$G,I31,DB_Devices_Clean!$M:$M,"ไม่พบในรายการ")</x:f>
        <x:v>0</x:v>
      </x:c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 t="str">
        <x:v>STH</x:v>
      </x:c>
      <x:c r="J32" s="17" t="n">
        <x:f>COUNTIF(DB_Devices_Clean!$G:$G,I32)</x:f>
        <x:v>7</x:v>
      </x:c>
      <x:c r="K32" s="17" t="n">
        <x:f>COUNTIFS(DB_Devices_Clean!$G:$G,I32,DB_Devices_Clean!$M:$M,K$21)</x:f>
        <x:v>0</x:v>
      </x:c>
      <x:c r="L32" s="17" t="n">
        <x:f>COUNTIFS(DB_Devices_Clean!$G:$G,I32,DB_Devices_Clean!$M:$M,L$21)</x:f>
        <x:v>0</x:v>
      </x:c>
      <x:c r="M32" s="17" t="n">
        <x:f>COUNTIFS(DB_Devices_Clean!$G:$G,I32,DB_Devices_Clean!$M:$M,M$21)</x:f>
        <x:v>7</x:v>
      </x:c>
      <x:c r="N32" s="17" t="n">
        <x:f>COUNTIFS(DB_Devices_Clean!$G:$G,I32,DB_Devices_Clean!$M:$M,"ใช้งานไม่ได้")+COUNTIFS(DB_Devices_Clean!$G:$G,I32,DB_Devices_Clean!$M:$M,"ไม่พบในรายการ")</x:f>
        <x:v>0</x:v>
      </x:c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 t="str">
        <x:v>Supachock Nutapibal</x:v>
      </x:c>
      <x:c r="J33" s="17" t="n">
        <x:f>COUNTIF(DB_Devices_Clean!$G:$G,I33)</x:f>
        <x:v>1</x:v>
      </x:c>
      <x:c r="K33" s="17" t="n">
        <x:f>COUNTIFS(DB_Devices_Clean!$G:$G,I33,DB_Devices_Clean!$M:$M,K$21)</x:f>
        <x:v>0</x:v>
      </x:c>
      <x:c r="L33" s="17" t="n">
        <x:f>COUNTIFS(DB_Devices_Clean!$G:$G,I33,DB_Devices_Clean!$M:$M,L$21)</x:f>
        <x:v>0</x:v>
      </x:c>
      <x:c r="M33" s="17" t="n">
        <x:f>COUNTIFS(DB_Devices_Clean!$G:$G,I33,DB_Devices_Clean!$M:$M,M$21)</x:f>
        <x:v>1</x:v>
      </x:c>
      <x:c r="N33" s="17" t="n">
        <x:f>COUNTIFS(DB_Devices_Clean!$G:$G,I33,DB_Devices_Clean!$M:$M,"ใช้งานไม่ได้")+COUNTIFS(DB_Devices_Clean!$G:$G,I33,DB_Devices_Clean!$M:$M,"ไม่พบในรายการ")</x:f>
        <x:v>0</x:v>
      </x:c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 t="str">
        <x:v>Warehouse</x:v>
      </x:c>
      <x:c r="J34" s="17" t="n">
        <x:f>COUNTIF(DB_Devices_Clean!$G:$G,I34)</x:f>
        <x:v>302</x:v>
      </x:c>
      <x:c r="K34" s="17" t="n">
        <x:f>COUNTIFS(DB_Devices_Clean!$G:$G,I34,DB_Devices_Clean!$M:$M,K$21)</x:f>
        <x:v>0</x:v>
      </x:c>
      <x:c r="L34" s="17" t="n">
        <x:f>COUNTIFS(DB_Devices_Clean!$G:$G,I34,DB_Devices_Clean!$M:$M,L$21)</x:f>
        <x:v>302</x:v>
      </x:c>
      <x:c r="M34" s="17" t="n">
        <x:f>COUNTIFS(DB_Devices_Clean!$G:$G,I34,DB_Devices_Clean!$M:$M,M$21)</x:f>
        <x:v>0</x:v>
      </x:c>
      <x:c r="N34" s="17" t="n">
        <x:f>COUNTIFS(DB_Devices_Clean!$G:$G,I34,DB_Devices_Clean!$M:$M,"ใช้งานไม่ได้")+COUNTIFS(DB_Devices_Clean!$G:$G,I34,DB_Devices_Clean!$M:$M,"ไม่พบในรายการ")</x:f>
        <x:v>0</x:v>
      </x:c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 t="str">
        <x:v>Witchuta Srisanate</x:v>
      </x:c>
      <x:c r="J35" s="17" t="n">
        <x:f>COUNTIF(DB_Devices_Clean!$G:$G,I35)</x:f>
        <x:v>1</x:v>
      </x:c>
      <x:c r="K35" s="17" t="n">
        <x:f>COUNTIFS(DB_Devices_Clean!$G:$G,I35,DB_Devices_Clean!$M:$M,K$21)</x:f>
        <x:v>0</x:v>
      </x:c>
      <x:c r="L35" s="17" t="n">
        <x:f>COUNTIFS(DB_Devices_Clean!$G:$G,I35,DB_Devices_Clean!$M:$M,L$21)</x:f>
        <x:v>0</x:v>
      </x:c>
      <x:c r="M35" s="17" t="n">
        <x:f>COUNTIFS(DB_Devices_Clean!$G:$G,I35,DB_Devices_Clean!$M:$M,M$21)</x:f>
        <x:v>1</x:v>
      </x:c>
      <x:c r="N35" s="17" t="n">
        <x:f>COUNTIFS(DB_Devices_Clean!$G:$G,I35,DB_Devices_Clean!$M:$M,"ใช้งานไม่ได้")+COUNTIFS(DB_Devices_Clean!$G:$G,I35,DB_Devices_Clean!$M:$M,"ไม่พบในรายการ")</x:f>
        <x:v>0</x:v>
      </x:c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 t="str">
        <x:v>รพ.กรุงเทพสนามจันทร์ (BSN)</x:v>
      </x:c>
      <x:c r="J36" s="17" t="n">
        <x:f>COUNTIF(DB_Devices_Clean!$G:$G,I36)</x:f>
        <x:v>2</x:v>
      </x:c>
      <x:c r="K36" s="17" t="n">
        <x:f>COUNTIFS(DB_Devices_Clean!$G:$G,I36,DB_Devices_Clean!$M:$M,K$21)</x:f>
        <x:v>0</x:v>
      </x:c>
      <x:c r="L36" s="17" t="n">
        <x:f>COUNTIFS(DB_Devices_Clean!$G:$G,I36,DB_Devices_Clean!$M:$M,L$21)</x:f>
        <x:v>0</x:v>
      </x:c>
      <x:c r="M36" s="17" t="n">
        <x:f>COUNTIFS(DB_Devices_Clean!$G:$G,I36,DB_Devices_Clean!$M:$M,M$21)</x:f>
        <x:v>2</x:v>
      </x:c>
      <x:c r="N36" s="17" t="n">
        <x:f>COUNTIFS(DB_Devices_Clean!$G:$G,I36,DB_Devices_Clean!$M:$M,"ใช้งานไม่ได้")+COUNTIFS(DB_Devices_Clean!$G:$G,I36,DB_Devices_Clean!$M:$M,"ไม่พบในรายการ")</x:f>
        <x:v>0</x:v>
      </x:c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 t="str">
        <x:v>รพ.วันเวลา</x:v>
      </x:c>
      <x:c r="J37" s="17" t="n">
        <x:f>COUNTIF(DB_Devices_Clean!$G:$G,I37)</x:f>
        <x:v>5</x:v>
      </x:c>
      <x:c r="K37" s="17" t="n">
        <x:f>COUNTIFS(DB_Devices_Clean!$G:$G,I37,DB_Devices_Clean!$M:$M,K$21)</x:f>
        <x:v>0</x:v>
      </x:c>
      <x:c r="L37" s="17" t="n">
        <x:f>COUNTIFS(DB_Devices_Clean!$G:$G,I37,DB_Devices_Clean!$M:$M,L$21)</x:f>
        <x:v>0</x:v>
      </x:c>
      <x:c r="M37" s="17" t="n">
        <x:f>COUNTIFS(DB_Devices_Clean!$G:$G,I37,DB_Devices_Clean!$M:$M,M$21)</x:f>
        <x:v>5</x:v>
      </x:c>
      <x:c r="N37" s="17" t="n">
        <x:f>COUNTIFS(DB_Devices_Clean!$G:$G,I37,DB_Devices_Clean!$M:$M,"ใช้งานไม่ได้")+COUNTIFS(DB_Devices_Clean!$G:$G,I37,DB_Devices_Clean!$M:$M,"ไม่พบในรายการ")</x:f>
        <x:v>0</x:v>
      </x:c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 t="str">
        <x:v>รพ.สูงเนิน</x:v>
      </x:c>
      <x:c r="J38" s="17" t="n">
        <x:f>COUNTIF(DB_Devices_Clean!$G:$G,I38)</x:f>
        <x:v>11</x:v>
      </x:c>
      <x:c r="K38" s="17" t="n">
        <x:f>COUNTIFS(DB_Devices_Clean!$G:$G,I38,DB_Devices_Clean!$M:$M,K$21)</x:f>
        <x:v>0</x:v>
      </x:c>
      <x:c r="L38" s="17" t="n">
        <x:f>COUNTIFS(DB_Devices_Clean!$G:$G,I38,DB_Devices_Clean!$M:$M,L$21)</x:f>
        <x:v>0</x:v>
      </x:c>
      <x:c r="M38" s="17" t="n">
        <x:f>COUNTIFS(DB_Devices_Clean!$G:$G,I38,DB_Devices_Clean!$M:$M,M$21)</x:f>
        <x:v>11</x:v>
      </x:c>
      <x:c r="N38" s="17" t="n">
        <x:f>COUNTIFS(DB_Devices_Clean!$G:$G,I38,DB_Devices_Clean!$M:$M,"ใช้งานไม่ได้")+COUNTIFS(DB_Devices_Clean!$G:$G,I38,DB_Devices_Clean!$M:$M,"ไม่พบในรายการ")</x:f>
        <x:v>0</x:v>
      </x:c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 t="str">
        <x:v>รพ.เชียงรายประชานุเคราะห์</x:v>
      </x:c>
      <x:c r="J39" s="17" t="n">
        <x:f>COUNTIF(DB_Devices_Clean!$G:$G,I39)</x:f>
        <x:v>12</x:v>
      </x:c>
      <x:c r="K39" s="17" t="n">
        <x:f>COUNTIFS(DB_Devices_Clean!$G:$G,I39,DB_Devices_Clean!$M:$M,K$21)</x:f>
        <x:v>0</x:v>
      </x:c>
      <x:c r="L39" s="17" t="n">
        <x:f>COUNTIFS(DB_Devices_Clean!$G:$G,I39,DB_Devices_Clean!$M:$M,L$21)</x:f>
        <x:v>0</x:v>
      </x:c>
      <x:c r="M39" s="17" t="n">
        <x:f>COUNTIFS(DB_Devices_Clean!$G:$G,I39,DB_Devices_Clean!$M:$M,M$21)</x:f>
        <x:v>12</x:v>
      </x:c>
      <x:c r="N39" s="17" t="n">
        <x:f>COUNTIFS(DB_Devices_Clean!$G:$G,I39,DB_Devices_Clean!$M:$M,"ใช้งานไม่ได้")+COUNTIFS(DB_Devices_Clean!$G:$G,I39,DB_Devices_Clean!$M:$M,"ไม่พบในรายการ")</x:f>
        <x:v>0</x:v>
      </x:c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 t="str">
        <x:v>รับคืนจาก Viva</x:v>
      </x:c>
      <x:c r="J40" s="17" t="n">
        <x:f>COUNTIF(DB_Devices_Clean!$G:$G,I40)</x:f>
        <x:v>5</x:v>
      </x:c>
      <x:c r="K40" s="17" t="n">
        <x:f>COUNTIFS(DB_Devices_Clean!$G:$G,I40,DB_Devices_Clean!$M:$M,K$21)</x:f>
        <x:v>0</x:v>
      </x:c>
      <x:c r="L40" s="17" t="n">
        <x:f>COUNTIFS(DB_Devices_Clean!$G:$G,I40,DB_Devices_Clean!$M:$M,L$21)</x:f>
        <x:v>0</x:v>
      </x:c>
      <x:c r="M40" s="17" t="n">
        <x:f>COUNTIFS(DB_Devices_Clean!$G:$G,I40,DB_Devices_Clean!$M:$M,M$21)</x:f>
        <x:v>5</x:v>
      </x:c>
      <x:c r="N40" s="17" t="n">
        <x:f>COUNTIFS(DB_Devices_Clean!$G:$G,I40,DB_Devices_Clean!$M:$M,"ใช้งานไม่ได้")+COUNTIFS(DB_Devices_Clean!$G:$G,I40,DB_Devices_Clean!$M:$M,"ไม่พบในรายการ")</x:f>
        <x:v>0</x:v>
      </x:c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 t="str">
        <x:v>ศูนย์การแพทย์กาญจนาภิเษก</x:v>
      </x:c>
      <x:c r="J41" s="17" t="n">
        <x:f>COUNTIF(DB_Devices_Clean!$G:$G,I41)</x:f>
        <x:v>18</x:v>
      </x:c>
      <x:c r="K41" s="17" t="n">
        <x:f>COUNTIFS(DB_Devices_Clean!$G:$G,I41,DB_Devices_Clean!$M:$M,K$21)</x:f>
        <x:v>0</x:v>
      </x:c>
      <x:c r="L41" s="17" t="n">
        <x:f>COUNTIFS(DB_Devices_Clean!$G:$G,I41,DB_Devices_Clean!$M:$M,L$21)</x:f>
        <x:v>0</x:v>
      </x:c>
      <x:c r="M41" s="17" t="n">
        <x:f>COUNTIFS(DB_Devices_Clean!$G:$G,I41,DB_Devices_Clean!$M:$M,M$21)</x:f>
        <x:v>18</x:v>
      </x:c>
      <x:c r="N41" s="17" t="n">
        <x:f>COUNTIFS(DB_Devices_Clean!$G:$G,I41,DB_Devices_Clean!$M:$M,"ใช้งานไม่ได้")+COUNTIFS(DB_Devices_Clean!$G:$G,I41,DB_Devices_Clean!$M:$M,"ไม่พบในรายการ")</x:f>
        <x:v>0</x:v>
      </x:c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 t="str">
        <x:v>เช่าเพิ่ม รพ.วันเวลา</x:v>
      </x:c>
      <x:c r="J42" s="17" t="n">
        <x:f>COUNTIF(DB_Devices_Clean!$G:$G,I42)</x:f>
        <x:v>2</x:v>
      </x:c>
      <x:c r="K42" s="17" t="n">
        <x:f>COUNTIFS(DB_Devices_Clean!$G:$G,I42,DB_Devices_Clean!$M:$M,K$21)</x:f>
        <x:v>0</x:v>
      </x:c>
      <x:c r="L42" s="17" t="n">
        <x:f>COUNTIFS(DB_Devices_Clean!$G:$G,I42,DB_Devices_Clean!$M:$M,L$21)</x:f>
        <x:v>0</x:v>
      </x:c>
      <x:c r="M42" s="17" t="n">
        <x:f>COUNTIFS(DB_Devices_Clean!$G:$G,I42,DB_Devices_Clean!$M:$M,M$21)</x:f>
        <x:v>2</x:v>
      </x:c>
      <x:c r="N42" s="17" t="n">
        <x:f>COUNTIFS(DB_Devices_Clean!$G:$G,I42,DB_Devices_Clean!$M:$M,"ใช้งานไม่ได้")+COUNTIFS(DB_Devices_Clean!$G:$G,I42,DB_Devices_Clean!$M:$M,"ไม่พบในรายการ")</x:f>
        <x:v>0</x:v>
      </x:c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 t="str">
        <x:v>โรงพยาบาลกรุงเทพ หัวหิน</x:v>
      </x:c>
      <x:c r="J43" s="17" t="n">
        <x:f>COUNTIF(DB_Devices_Clean!$G:$G,I43)</x:f>
        <x:v>19</x:v>
      </x:c>
      <x:c r="K43" s="17" t="n">
        <x:f>COUNTIFS(DB_Devices_Clean!$G:$G,I43,DB_Devices_Clean!$M:$M,K$21)</x:f>
        <x:v>0</x:v>
      </x:c>
      <x:c r="L43" s="17" t="n">
        <x:f>COUNTIFS(DB_Devices_Clean!$G:$G,I43,DB_Devices_Clean!$M:$M,L$21)</x:f>
        <x:v>0</x:v>
      </x:c>
      <x:c r="M43" s="17" t="n">
        <x:f>COUNTIFS(DB_Devices_Clean!$G:$G,I43,DB_Devices_Clean!$M:$M,M$21)</x:f>
        <x:v>19</x:v>
      </x:c>
      <x:c r="N43" s="17" t="n">
        <x:f>COUNTIFS(DB_Devices_Clean!$G:$G,I43,DB_Devices_Clean!$M:$M,"ใช้งานไม่ได้")+COUNTIFS(DB_Devices_Clean!$G:$G,I43,DB_Devices_Clean!$M:$M,"ไม่พบในรายการ")</x:f>
        <x:v>0</x:v>
      </x:c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 t="str">
        <x:v>โรงพยาบาลบางมูลนาก จังหวัดพิจิตร</x:v>
      </x:c>
      <x:c r="J44" s="17" t="n">
        <x:f>COUNTIF(DB_Devices_Clean!$G:$G,I44)</x:f>
        <x:v>3</x:v>
      </x:c>
      <x:c r="K44" s="17" t="n">
        <x:f>COUNTIFS(DB_Devices_Clean!$G:$G,I44,DB_Devices_Clean!$M:$M,K$21)</x:f>
        <x:v>0</x:v>
      </x:c>
      <x:c r="L44" s="17" t="n">
        <x:f>COUNTIFS(DB_Devices_Clean!$G:$G,I44,DB_Devices_Clean!$M:$M,L$21)</x:f>
        <x:v>0</x:v>
      </x:c>
      <x:c r="M44" s="17" t="n">
        <x:f>COUNTIFS(DB_Devices_Clean!$G:$G,I44,DB_Devices_Clean!$M:$M,M$21)</x:f>
        <x:v>3</x:v>
      </x:c>
      <x:c r="N44" s="17" t="n">
        <x:f>COUNTIFS(DB_Devices_Clean!$G:$G,I44,DB_Devices_Clean!$M:$M,"ใช้งานไม่ได้")+COUNTIFS(DB_Devices_Clean!$G:$G,I44,DB_Devices_Clean!$M:$M,"ไม่พบในรายการ")</x:f>
        <x:v>0</x:v>
      </x:c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 t="str">
        <x:v>โรงพยาบาลเปาโล พระประแดง</x:v>
      </x:c>
      <x:c r="J45" s="17" t="n">
        <x:f>COUNTIF(DB_Devices_Clean!$G:$G,I45)</x:f>
        <x:v>6</x:v>
      </x:c>
      <x:c r="K45" s="17" t="n">
        <x:f>COUNTIFS(DB_Devices_Clean!$G:$G,I45,DB_Devices_Clean!$M:$M,K$21)</x:f>
        <x:v>0</x:v>
      </x:c>
      <x:c r="L45" s="17" t="n">
        <x:f>COUNTIFS(DB_Devices_Clean!$G:$G,I45,DB_Devices_Clean!$M:$M,L$21)</x:f>
        <x:v>0</x:v>
      </x:c>
      <x:c r="M45" s="17" t="n">
        <x:f>COUNTIFS(DB_Devices_Clean!$G:$G,I45,DB_Devices_Clean!$M:$M,M$21)</x:f>
        <x:v>6</x:v>
      </x:c>
      <x:c r="N45" s="17" t="n">
        <x:f>COUNTIFS(DB_Devices_Clean!$G:$G,I45,DB_Devices_Clean!$M:$M,"ใช้งานไม่ได้")+COUNTIFS(DB_Devices_Clean!$G:$G,I45,DB_Devices_Clean!$M:$M,"ไม่พบในรายการ")</x:f>
        <x:v>0</x:v>
      </x:c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b868d80630a42b2"/>
  <x:tableParts count="3">
    <x:tablePart xmlns:r="http://schemas.openxmlformats.org/officeDocument/2006/relationships" r:id="Rdfb085e5bdff4ddb"/>
    <x:tablePart xmlns:r="http://schemas.openxmlformats.org/officeDocument/2006/relationships" r:id="Rdf4edab3cb644033"/>
    <x:tablePart xmlns:r="http://schemas.openxmlformats.org/officeDocument/2006/relationships" r:id="Rf9e80f07be8142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32" hidden="0" customWidth="1"/>
    <x:col min="12" max="12" width="32" hidden="0" customWidth="1"/>
    <x:col min="13" max="13" width="18" hidden="0" customWidth="1"/>
  </x:cols>
  <x:sheetData>
    <x:row r="1">
      <x:c r="A1" s="12" t="str">
        <x:v>id_code</x:v>
      </x:c>
      <x:c r="B1" s="12" t="str">
        <x:v>serial_number</x:v>
      </x:c>
      <x:c r="C1" s="12" t="str">
        <x:v>brand</x:v>
      </x:c>
      <x:c r="D1" s="12" t="str">
        <x:v>model</x:v>
      </x:c>
      <x:c r="E1" s="12" t="str">
        <x:v>item_name</x:v>
      </x:c>
      <x:c r="F1" s="12" t="str">
        <x:v>category</x:v>
      </x:c>
      <x:c r="G1" s="12" t="str">
        <x:v>location</x:v>
      </x:c>
      <x:c r="H1" s="12" t="str">
        <x:v>base_status</x:v>
      </x:c>
      <x:c r="I1" s="12" t="str">
        <x:v>dq_status</x:v>
      </x:c>
      <x:c r="J1" s="12" t="str">
        <x:v>rental_status</x:v>
      </x:c>
      <x:c r="K1" s="12" t="str">
        <x:v>action_required</x:v>
      </x:c>
      <x:c r="L1" s="12" t="str">
        <x:v>recheck_note</x:v>
      </x:c>
      <x:c r="M1" s="12" t="str">
        <x:v>display_status</x:v>
      </x:c>
    </x:row>
    <x:row r="2">
      <x:c r="A2" t="str">
        <x:v>102751</x:v>
      </x:c>
      <x:c r="B2" t="str">
        <x:v>102751</x:v>
      </x:c>
      <x:c r="C2" t="str">
        <x:v>B.Braun</x:v>
      </x:c>
      <x:c r="D2" t="str">
        <x:v>Infusomat Space</x:v>
      </x:c>
      <x:c r="E2" t="str">
        <x:v>Infusomat Space</x:v>
      </x:c>
      <x:c r="F2" t="str">
        <x:v>BBRAUN_INFUSOMAT</x:v>
      </x:c>
      <x:c r="G2" t="str">
        <x:v>Warehouse</x:v>
      </x:c>
      <x:c r="H2" t="str">
        <x:v>รอสอบเทียบ</x:v>
      </x:c>
      <x:c r="I2" t="str">
        <x:v>รอสอบเทียบ</x:v>
      </x:c>
      <x:c r="J2" t="str">
        <x:v>ไม่มีสัญญา</x:v>
      </x:c>
      <x:c r="K2" t="str">
        <x:v>รอสอบเทียบก่อนพร้อมส่ง</x:v>
      </x:c>
      <x:c r="L2" t="str">
        <x:v>ไม่ได้เช่ายืม = รอสอบเทียบ</x:v>
      </x:c>
      <x:c r="M2" t="str">
        <x:f>IF(OR(H2="ใช้งานไม่ได้",H2="BROKEN",H2="Broken"),"ใช้งานไม่ได้",IF(OR(H2="ไม่พบในรายการ",H2="MISSING",H2="Missing"),"ไม่พบในรายการ",IF(OR(J2="เช่ายืม",J2="IN_USE",J2="IN-USE",H2="เช่ายืม"),"เช่ายืม",IF(H2="พร้อมส่ง","พร้อมส่ง","รอสอบเทียบ"))))</x:f>
        <x:v>รอสอบเทียบ</x:v>
      </x:c>
    </x:row>
    <x:row r="3">
      <x:c r="A3" t="str">
        <x:v>102795</x:v>
      </x:c>
      <x:c r="B3" t="str">
        <x:v>102795</x:v>
      </x:c>
      <x:c r="C3" t="str">
        <x:v>B.Braun</x:v>
      </x:c>
      <x:c r="D3" t="str">
        <x:v>Infusomat Space</x:v>
      </x:c>
      <x:c r="E3" t="str">
        <x:v>Infusomat Space</x:v>
      </x:c>
      <x:c r="F3" t="str">
        <x:v>BBRAUN_INFUSOMAT</x:v>
      </x:c>
      <x:c r="G3" t="str">
        <x:v>BHP</x:v>
      </x:c>
      <x:c r="H3" t="str">
        <x:v>เช่ายืม</x:v>
      </x:c>
      <x:c r="I3" t="str">
        <x:v>พร้อมส่ง</x:v>
      </x:c>
      <x:c r="J3" t="str">
        <x:v>เช่ายืม</x:v>
      </x:c>
      <x:c r="K3" t="str">
        <x:v>อยู่ระหว่างเช่ายืม / เกินกำหนดคืน 60 วัน</x:v>
      </x:c>
      <x:c r="L3"/>
      <x:c r="M3" t="str">
        <x:f>IF(OR(H3="ใช้งานไม่ได้",H3="BROKEN",H3="Broken"),"ใช้งานไม่ได้",IF(OR(H3="ไม่พบในรายการ",H3="MISSING",H3="Missing"),"ไม่พบในรายการ",IF(OR(J3="เช่ายืม",J3="IN_USE",J3="IN-USE",H3="เช่ายืม"),"เช่ายืม",IF(H3="พร้อมส่ง","พร้อมส่ง","รอสอบเทียบ"))))</x:f>
        <x:v>เช่ายืม</x:v>
      </x:c>
    </x:row>
    <x:row r="4">
      <x:c r="A4" t="str">
        <x:v>102862</x:v>
      </x:c>
      <x:c r="B4" t="str">
        <x:v>102862</x:v>
      </x:c>
      <x:c r="C4" t="str">
        <x:v>B.Braun</x:v>
      </x:c>
      <x:c r="D4" t="str">
        <x:v>Infusomat Space</x:v>
      </x:c>
      <x:c r="E4" t="str">
        <x:v>Infusomat Space</x:v>
      </x:c>
      <x:c r="F4" t="str">
        <x:v>BBRAUN_INFUSOMAT</x:v>
      </x:c>
      <x:c r="G4" t="str">
        <x:v>Warehouse</x:v>
      </x:c>
      <x:c r="H4" t="str">
        <x:v>รอสอบเทียบ</x:v>
      </x:c>
      <x:c r="I4" t="str">
        <x:v>รอสอบเทียบ</x:v>
      </x:c>
      <x:c r="J4" t="str">
        <x:v>ไม่มีสัญญา</x:v>
      </x:c>
      <x:c r="K4" t="str">
        <x:v>รอสอบเทียบก่อนพร้อมส่ง</x:v>
      </x:c>
      <x:c r="L4" t="str">
        <x:v>ไม่ได้เช่ายืม = รอสอบเทียบ</x:v>
      </x:c>
      <x:c r="M4" t="str">
        <x:f>IF(OR(H4="ใช้งานไม่ได้",H4="BROKEN",H4="Broken"),"ใช้งานไม่ได้",IF(OR(H4="ไม่พบในรายการ",H4="MISSING",H4="Missing"),"ไม่พบในรายการ",IF(OR(J4="เช่ายืม",J4="IN_USE",J4="IN-USE",H4="เช่ายืม"),"เช่ายืม",IF(H4="พร้อมส่ง","พร้อมส่ง","รอสอบเทียบ"))))</x:f>
        <x:v>รอสอบเทียบ</x:v>
      </x:c>
    </x:row>
    <x:row r="5">
      <x:c r="A5" t="str">
        <x:v>102902</x:v>
      </x:c>
      <x:c r="B5" t="str">
        <x:v>102902</x:v>
      </x:c>
      <x:c r="C5" t="str">
        <x:v>B.Braun</x:v>
      </x:c>
      <x:c r="D5" t="str">
        <x:v>Infusomat Space</x:v>
      </x:c>
      <x:c r="E5" t="str">
        <x:v>Infusomat Space</x:v>
      </x:c>
      <x:c r="F5" t="str">
        <x:v>BBRAUN_INFUSOMAT</x:v>
      </x:c>
      <x:c r="G5" t="str">
        <x:v>ABSOLUTE HEALTH CLINIC</x:v>
      </x:c>
      <x:c r="H5" t="str">
        <x:v>เช่ายืม</x:v>
      </x:c>
      <x:c r="I5" t="str">
        <x:v>พร้อมส่ง</x:v>
      </x:c>
      <x:c r="J5" t="str">
        <x:v>เช่ายืม</x:v>
      </x:c>
      <x:c r="K5" t="str">
        <x:v>อยู่ระหว่างเช่ายืม / เกินกำหนดคืน 90 วัน</x:v>
      </x:c>
      <x:c r="L5"/>
      <x:c r="M5" t="str">
        <x:f>IF(OR(H5="ใช้งานไม่ได้",H5="BROKEN",H5="Broken"),"ใช้งานไม่ได้",IF(OR(H5="ไม่พบในรายการ",H5="MISSING",H5="Missing"),"ไม่พบในรายการ",IF(OR(J5="เช่ายืม",J5="IN_USE",J5="IN-USE",H5="เช่ายืม"),"เช่ายืม",IF(H5="พร้อมส่ง","พร้อมส่ง","รอสอบเทียบ"))))</x:f>
        <x:v>เช่ายืม</x:v>
      </x:c>
    </x:row>
    <x:row r="6">
      <x:c r="A6" t="str">
        <x:v>102911</x:v>
      </x:c>
      <x:c r="B6" t="str">
        <x:v>102911</x:v>
      </x:c>
      <x:c r="C6" t="str">
        <x:v>B.Braun</x:v>
      </x:c>
      <x:c r="D6" t="str">
        <x:v>Infusomat Space</x:v>
      </x:c>
      <x:c r="E6" t="str">
        <x:v>Infusomat Space</x:v>
      </x:c>
      <x:c r="F6" t="str">
        <x:v>BBRAUN_INFUSOMAT</x:v>
      </x:c>
      <x:c r="G6" t="str">
        <x:v>Warehouse</x:v>
      </x:c>
      <x:c r="H6" t="str">
        <x:v>รอสอบเทียบ</x:v>
      </x:c>
      <x:c r="I6" t="str">
        <x:v>รอสอบเทียบ</x:v>
      </x:c>
      <x:c r="J6" t="str">
        <x:v>ไม่มีสัญญา</x:v>
      </x:c>
      <x:c r="K6" t="str">
        <x:v>รอสอบเทียบก่อนพร้อมส่ง</x:v>
      </x:c>
      <x:c r="L6" t="str">
        <x:v>ไม่ได้เช่ายืม = รอสอบเทียบ</x:v>
      </x:c>
      <x:c r="M6" t="str">
        <x:f>IF(OR(H6="ใช้งานไม่ได้",H6="BROKEN",H6="Broken"),"ใช้งานไม่ได้",IF(OR(H6="ไม่พบในรายการ",H6="MISSING",H6="Missing"),"ไม่พบในรายการ",IF(OR(J6="เช่ายืม",J6="IN_USE",J6="IN-USE",H6="เช่ายืม"),"เช่ายืม",IF(H6="พร้อมส่ง","พร้อมส่ง","รอสอบเทียบ"))))</x:f>
        <x:v>รอสอบเทียบ</x:v>
      </x:c>
    </x:row>
    <x:row r="7">
      <x:c r="A7" t="str">
        <x:v>102958</x:v>
      </x:c>
      <x:c r="B7" t="str">
        <x:v>102958</x:v>
      </x:c>
      <x:c r="C7" t="str">
        <x:v>B.Braun</x:v>
      </x:c>
      <x:c r="D7" t="str">
        <x:v>Infusomat Space</x:v>
      </x:c>
      <x:c r="E7" t="str">
        <x:v>Infusomat Space</x:v>
      </x:c>
      <x:c r="F7" t="str">
        <x:v>BBRAUN_INFUSOMAT</x:v>
      </x:c>
      <x:c r="G7" t="str">
        <x:v>ABSOLUTE HEALTH CLINIC</x:v>
      </x:c>
      <x:c r="H7" t="str">
        <x:v>เช่ายืม</x:v>
      </x:c>
      <x:c r="I7" t="str">
        <x:v>พร้อมส่ง</x:v>
      </x:c>
      <x:c r="J7" t="str">
        <x:v>เช่ายืม</x:v>
      </x:c>
      <x:c r="K7" t="str">
        <x:v>อยู่ระหว่างเช่ายืม / เกินกำหนดคืน 90 วัน</x:v>
      </x:c>
      <x:c r="L7"/>
      <x:c r="M7" t="str">
        <x:f>IF(OR(H7="ใช้งานไม่ได้",H7="BROKEN",H7="Broken"),"ใช้งานไม่ได้",IF(OR(H7="ไม่พบในรายการ",H7="MISSING",H7="Missing"),"ไม่พบในรายการ",IF(OR(J7="เช่ายืม",J7="IN_USE",J7="IN-USE",H7="เช่ายืม"),"เช่ายืม",IF(H7="พร้อมส่ง","พร้อมส่ง","รอสอบเทียบ"))))</x:f>
        <x:v>เช่ายืม</x:v>
      </x:c>
    </x:row>
    <x:row r="8">
      <x:c r="A8" t="str">
        <x:v>102981</x:v>
      </x:c>
      <x:c r="B8" t="str">
        <x:v>102981</x:v>
      </x:c>
      <x:c r="C8" t="str">
        <x:v>B.Braun</x:v>
      </x:c>
      <x:c r="D8" t="str">
        <x:v>Infusomat Space</x:v>
      </x:c>
      <x:c r="E8" t="str">
        <x:v>Infusomat Space</x:v>
      </x:c>
      <x:c r="F8" t="str">
        <x:v>BBRAUN_INFUSOMAT</x:v>
      </x:c>
      <x:c r="G8" t="str">
        <x:v>Warehouse</x:v>
      </x:c>
      <x:c r="H8" t="str">
        <x:v>รอสอบเทียบ</x:v>
      </x:c>
      <x:c r="I8" t="str">
        <x:v>รอสอบเทียบ</x:v>
      </x:c>
      <x:c r="J8" t="str">
        <x:v>ไม่มีสัญญา</x:v>
      </x:c>
      <x:c r="K8" t="str">
        <x:v>รอสอบเทียบก่อนพร้อมส่ง</x:v>
      </x:c>
      <x:c r="L8" t="str">
        <x:v>ไม่ได้เช่ายืม = รอสอบเทียบ</x:v>
      </x:c>
      <x:c r="M8" t="str">
        <x:f>IF(OR(H8="ใช้งานไม่ได้",H8="BROKEN",H8="Broken"),"ใช้งานไม่ได้",IF(OR(H8="ไม่พบในรายการ",H8="MISSING",H8="Missing"),"ไม่พบในรายการ",IF(OR(J8="เช่ายืม",J8="IN_USE",J8="IN-USE",H8="เช่ายืม"),"เช่ายืม",IF(H8="พร้อมส่ง","พร้อมส่ง","รอสอบเทียบ"))))</x:f>
        <x:v>รอสอบเทียบ</x:v>
      </x:c>
    </x:row>
    <x:row r="9">
      <x:c r="A9" t="str">
        <x:v>102984</x:v>
      </x:c>
      <x:c r="B9" t="str">
        <x:v>102984</x:v>
      </x:c>
      <x:c r="C9" t="str">
        <x:v>B.Braun</x:v>
      </x:c>
      <x:c r="D9" t="str">
        <x:v>Infusomat Space</x:v>
      </x:c>
      <x:c r="E9" t="str">
        <x:v>Infusomat Space</x:v>
      </x:c>
      <x:c r="F9" t="str">
        <x:v>BBRAUN_INFUSOMAT</x:v>
      </x:c>
      <x:c r="G9" t="str">
        <x:v>ABSOLUTE HEALTH CLINIC</x:v>
      </x:c>
      <x:c r="H9" t="str">
        <x:v>เช่ายืม</x:v>
      </x:c>
      <x:c r="I9" t="str">
        <x:v>พร้อมส่ง</x:v>
      </x:c>
      <x:c r="J9" t="str">
        <x:v>เช่ายืม</x:v>
      </x:c>
      <x:c r="K9" t="str">
        <x:v>อยู่ระหว่างเช่ายืม / เกินกำหนดคืน 90 วัน</x:v>
      </x:c>
      <x:c r="L9"/>
      <x:c r="M9" t="str">
        <x:f>IF(OR(H9="ใช้งานไม่ได้",H9="BROKEN",H9="Broken"),"ใช้งานไม่ได้",IF(OR(H9="ไม่พบในรายการ",H9="MISSING",H9="Missing"),"ไม่พบในรายการ",IF(OR(J9="เช่ายืม",J9="IN_USE",J9="IN-USE",H9="เช่ายืม"),"เช่ายืม",IF(H9="พร้อมส่ง","พร้อมส่ง","รอสอบเทียบ"))))</x:f>
        <x:v>เช่ายืม</x:v>
      </x:c>
    </x:row>
    <x:row r="10">
      <x:c r="A10" t="str">
        <x:v>102992</x:v>
      </x:c>
      <x:c r="B10" t="str">
        <x:v>102992</x:v>
      </x:c>
      <x:c r="C10" t="str">
        <x:v>B.Braun</x:v>
      </x:c>
      <x:c r="D10" t="str">
        <x:v>Infusomat Space</x:v>
      </x:c>
      <x:c r="E10" t="str">
        <x:v>Infusomat Space</x:v>
      </x:c>
      <x:c r="F10" t="str">
        <x:v>BBRAUN_INFUSOMAT</x:v>
      </x:c>
      <x:c r="G10" t="str">
        <x:v>ABSOLUTE HEALTH CLINIC</x:v>
      </x:c>
      <x:c r="H10" t="str">
        <x:v>เช่ายืม</x:v>
      </x:c>
      <x:c r="I10" t="str">
        <x:v>พร้อมส่ง</x:v>
      </x:c>
      <x:c r="J10" t="str">
        <x:v>เช่ายืม</x:v>
      </x:c>
      <x:c r="K10" t="str">
        <x:v>อยู่ระหว่างเช่ายืม / เกินกำหนดคืน 90 วัน</x:v>
      </x:c>
      <x:c r="L10"/>
      <x:c r="M10" t="str">
        <x:f>IF(OR(H10="ใช้งานไม่ได้",H10="BROKEN",H10="Broken"),"ใช้งานไม่ได้",IF(OR(H10="ไม่พบในรายการ",H10="MISSING",H10="Missing"),"ไม่พบในรายการ",IF(OR(J10="เช่ายืม",J10="IN_USE",J10="IN-USE",H10="เช่ายืม"),"เช่ายืม",IF(H10="พร้อมส่ง","พร้อมส่ง","รอสอบเทียบ"))))</x:f>
        <x:v>เช่ายืม</x:v>
      </x:c>
    </x:row>
    <x:row r="11">
      <x:c r="A11" t="str">
        <x:v>112655</x:v>
      </x:c>
      <x:c r="B11" t="str">
        <x:v>112655</x:v>
      </x:c>
      <x:c r="C11" t="str">
        <x:v>B.Braun</x:v>
      </x:c>
      <x:c r="D11" t="str">
        <x:v>Infusomat Space</x:v>
      </x:c>
      <x:c r="E11" t="str">
        <x:v>Infusomat Space</x:v>
      </x:c>
      <x:c r="F11" t="str">
        <x:v>BBRAUN_INFUSOMAT</x:v>
      </x:c>
      <x:c r="G11" t="str">
        <x:v>ABSOLUTE HEALTH CLINIC</x:v>
      </x:c>
      <x:c r="H11" t="str">
        <x:v>เช่ายืม</x:v>
      </x:c>
      <x:c r="I11" t="str">
        <x:v>พร้อมส่ง</x:v>
      </x:c>
      <x:c r="J11" t="str">
        <x:v>เช่ายืม</x:v>
      </x:c>
      <x:c r="K11" t="str">
        <x:v>อยู่ระหว่างเช่ายืม / เกินกำหนดคืน 90 วัน</x:v>
      </x:c>
      <x:c r="L11"/>
      <x:c r="M11" t="str">
        <x:f>IF(OR(H11="ใช้งานไม่ได้",H11="BROKEN",H11="Broken"),"ใช้งานไม่ได้",IF(OR(H11="ไม่พบในรายการ",H11="MISSING",H11="Missing"),"ไม่พบในรายการ",IF(OR(J11="เช่ายืม",J11="IN_USE",J11="IN-USE",H11="เช่ายืม"),"เช่ายืม",IF(H11="พร้อมส่ง","พร้อมส่ง","รอสอบเทียบ"))))</x:f>
        <x:v>เช่ายืม</x:v>
      </x:c>
    </x:row>
    <x:row r="12">
      <x:c r="A12" t="str">
        <x:v>112988</x:v>
      </x:c>
      <x:c r="B12" t="str">
        <x:v>112988</x:v>
      </x:c>
      <x:c r="C12" t="str">
        <x:v>B.Braun</x:v>
      </x:c>
      <x:c r="D12" t="str">
        <x:v>Infusomat Space</x:v>
      </x:c>
      <x:c r="E12" t="str">
        <x:v>Infusomat Space</x:v>
      </x:c>
      <x:c r="F12" t="str">
        <x:v>BBRAUN_INFUSOMAT</x:v>
      </x:c>
      <x:c r="G12" t="str">
        <x:v>Warehouse</x:v>
      </x:c>
      <x:c r="H12" t="str">
        <x:v>รอสอบเทียบ</x:v>
      </x:c>
      <x:c r="I12" t="str">
        <x:v>รอสอบเทียบ</x:v>
      </x:c>
      <x:c r="J12" t="str">
        <x:v>ไม่มีสัญญา</x:v>
      </x:c>
      <x:c r="K12" t="str">
        <x:v>รอสอบเทียบก่อนพร้อมส่ง</x:v>
      </x:c>
      <x:c r="L12" t="str">
        <x:v>ไม่ได้เช่ายืม = รอสอบเทียบ</x:v>
      </x:c>
      <x:c r="M12" t="str">
        <x:f>IF(OR(H12="ใช้งานไม่ได้",H12="BROKEN",H12="Broken"),"ใช้งานไม่ได้",IF(OR(H12="ไม่พบในรายการ",H12="MISSING",H12="Missing"),"ไม่พบในรายการ",IF(OR(J12="เช่ายืม",J12="IN_USE",J12="IN-USE",H12="เช่ายืม"),"เช่ายืม",IF(H12="พร้อมส่ง","พร้อมส่ง","รอสอบเทียบ"))))</x:f>
        <x:v>รอสอบเทียบ</x:v>
      </x:c>
    </x:row>
    <x:row r="13">
      <x:c r="A13" t="str">
        <x:v>113116</x:v>
      </x:c>
      <x:c r="B13" t="str">
        <x:v>113116</x:v>
      </x:c>
      <x:c r="C13" t="str">
        <x:v>B.Braun</x:v>
      </x:c>
      <x:c r="D13" t="str">
        <x:v>Infusomat Space</x:v>
      </x:c>
      <x:c r="E13" t="str">
        <x:v>Infusomat Space</x:v>
      </x:c>
      <x:c r="F13" t="str">
        <x:v>BBRAUN_INFUSOMAT</x:v>
      </x:c>
      <x:c r="G13" t="str">
        <x:v>Warehouse</x:v>
      </x:c>
      <x:c r="H13" t="str">
        <x:v>รอสอบเทียบ</x:v>
      </x:c>
      <x:c r="I13" t="str">
        <x:v>รอสอบเทียบ</x:v>
      </x:c>
      <x:c r="J13" t="str">
        <x:v>ไม่มีสัญญา</x:v>
      </x:c>
      <x:c r="K13" t="str">
        <x:v>รอสอบเทียบก่อนพร้อมส่ง</x:v>
      </x:c>
      <x:c r="L13" t="str">
        <x:v>ไม่ได้เช่ายืม = รอสอบเทียบ</x:v>
      </x:c>
      <x:c r="M13" t="str">
        <x:f>IF(OR(H13="ใช้งานไม่ได้",H13="BROKEN",H13="Broken"),"ใช้งานไม่ได้",IF(OR(H13="ไม่พบในรายการ",H13="MISSING",H13="Missing"),"ไม่พบในรายการ",IF(OR(J13="เช่ายืม",J13="IN_USE",J13="IN-USE",H13="เช่ายืม"),"เช่ายืม",IF(H13="พร้อมส่ง","พร้อมส่ง","รอสอบเทียบ"))))</x:f>
        <x:v>รอสอบเทียบ</x:v>
      </x:c>
    </x:row>
    <x:row r="14">
      <x:c r="A14" t="str">
        <x:v>113280</x:v>
      </x:c>
      <x:c r="B14" t="str">
        <x:v>113280</x:v>
      </x:c>
      <x:c r="C14" t="str">
        <x:v>B.Braun</x:v>
      </x:c>
      <x:c r="D14" t="str">
        <x:v>Infusomat Space</x:v>
      </x:c>
      <x:c r="E14" t="str">
        <x:v>Infusomat Space</x:v>
      </x:c>
      <x:c r="F14" t="str">
        <x:v>BBRAUN_INFUSOMAT</x:v>
      </x:c>
      <x:c r="G14" t="str">
        <x:v>Warehouse</x:v>
      </x:c>
      <x:c r="H14" t="str">
        <x:v>รอสอบเทียบ</x:v>
      </x:c>
      <x:c r="I14" t="str">
        <x:v>รอสอบเทียบ</x:v>
      </x:c>
      <x:c r="J14" t="str">
        <x:v>ไม่มีสัญญา</x:v>
      </x:c>
      <x:c r="K14" t="str">
        <x:v>รอสอบเทียบก่อนพร้อมส่ง</x:v>
      </x:c>
      <x:c r="L14" t="str">
        <x:v>ไม่ได้เช่ายืม = รอสอบเทียบ</x:v>
      </x:c>
      <x:c r="M14" t="str">
        <x:f>IF(OR(H14="ใช้งานไม่ได้",H14="BROKEN",H14="Broken"),"ใช้งานไม่ได้",IF(OR(H14="ไม่พบในรายการ",H14="MISSING",H14="Missing"),"ไม่พบในรายการ",IF(OR(J14="เช่ายืม",J14="IN_USE",J14="IN-USE",H14="เช่ายืม"),"เช่ายืม",IF(H14="พร้อมส่ง","พร้อมส่ง","รอสอบเทียบ"))))</x:f>
        <x:v>รอสอบเทียบ</x:v>
      </x:c>
    </x:row>
    <x:row r="15">
      <x:c r="A15" t="str">
        <x:v>113314</x:v>
      </x:c>
      <x:c r="B15" t="str">
        <x:v>113314</x:v>
      </x:c>
      <x:c r="C15" t="str">
        <x:v>B.Braun</x:v>
      </x:c>
      <x:c r="D15" t="str">
        <x:v>Infusomat Space</x:v>
      </x:c>
      <x:c r="E15" t="str">
        <x:v>Infusomat Space</x:v>
      </x:c>
      <x:c r="F15" t="str">
        <x:v>BBRAUN_INFUSOMAT</x:v>
      </x:c>
      <x:c r="G15" t="str">
        <x:v>ABSOLUTE HEALTH CLINIC</x:v>
      </x:c>
      <x:c r="H15" t="str">
        <x:v>เช่ายืม</x:v>
      </x:c>
      <x:c r="I15" t="str">
        <x:v>พร้อมส่ง</x:v>
      </x:c>
      <x:c r="J15" t="str">
        <x:v>เช่ายืม</x:v>
      </x:c>
      <x:c r="K15" t="str">
        <x:v>อยู่ระหว่างเช่ายืม / เกินกำหนดคืน 90 วัน</x:v>
      </x:c>
      <x:c r="L15"/>
      <x:c r="M15" t="str">
        <x:f>IF(OR(H15="ใช้งานไม่ได้",H15="BROKEN",H15="Broken"),"ใช้งานไม่ได้",IF(OR(H15="ไม่พบในรายการ",H15="MISSING",H15="Missing"),"ไม่พบในรายการ",IF(OR(J15="เช่ายืม",J15="IN_USE",J15="IN-USE",H15="เช่ายืม"),"เช่ายืม",IF(H15="พร้อมส่ง","พร้อมส่ง","รอสอบเทียบ"))))</x:f>
        <x:v>เช่ายืม</x:v>
      </x:c>
    </x:row>
    <x:row r="16">
      <x:c r="A16" t="str">
        <x:v>113378</x:v>
      </x:c>
      <x:c r="B16" t="str">
        <x:v>113378</x:v>
      </x:c>
      <x:c r="C16" t="str">
        <x:v>B.Braun</x:v>
      </x:c>
      <x:c r="D16" t="str">
        <x:v>Infusomat Space</x:v>
      </x:c>
      <x:c r="E16" t="str">
        <x:v>Infusomat Space</x:v>
      </x:c>
      <x:c r="F16" t="str">
        <x:v>BBRAUN_INFUSOMAT</x:v>
      </x:c>
      <x:c r="G16" t="str">
        <x:v>Warehouse</x:v>
      </x:c>
      <x:c r="H16" t="str">
        <x:v>รอสอบเทียบ</x:v>
      </x:c>
      <x:c r="I16" t="str">
        <x:v>รอสอบเทียบ</x:v>
      </x:c>
      <x:c r="J16" t="str">
        <x:v>ไม่มีสัญญา</x:v>
      </x:c>
      <x:c r="K16" t="str">
        <x:v>รอสอบเทียบก่อนพร้อมส่ง</x:v>
      </x:c>
      <x:c r="L16" t="str">
        <x:v>ไม่ได้เช่ายืม = รอสอบเทียบ</x:v>
      </x:c>
      <x:c r="M16" t="str">
        <x:f>IF(OR(H16="ใช้งานไม่ได้",H16="BROKEN",H16="Broken"),"ใช้งานไม่ได้",IF(OR(H16="ไม่พบในรายการ",H16="MISSING",H16="Missing"),"ไม่พบในรายการ",IF(OR(J16="เช่ายืม",J16="IN_USE",J16="IN-USE",H16="เช่ายืม"),"เช่ายืม",IF(H16="พร้อมส่ง","พร้อมส่ง","รอสอบเทียบ"))))</x:f>
        <x:v>รอสอบเทียบ</x:v>
      </x:c>
    </x:row>
    <x:row r="17">
      <x:c r="A17" t="str">
        <x:v>113422</x:v>
      </x:c>
      <x:c r="B17" t="str">
        <x:v>113422</x:v>
      </x:c>
      <x:c r="C17" t="str">
        <x:v>B.Braun</x:v>
      </x:c>
      <x:c r="D17" t="str">
        <x:v>Infusomat Space</x:v>
      </x:c>
      <x:c r="E17" t="str">
        <x:v>Infusomat Space</x:v>
      </x:c>
      <x:c r="F17" t="str">
        <x:v>BBRAUN_INFUSOMAT</x:v>
      </x:c>
      <x:c r="G17" t="str">
        <x:v>Warehouse</x:v>
      </x:c>
      <x:c r="H17" t="str">
        <x:v>รอสอบเทียบ</x:v>
      </x:c>
      <x:c r="I17" t="str">
        <x:v>รอสอบเทียบ</x:v>
      </x:c>
      <x:c r="J17" t="str">
        <x:v>ไม่มีสัญญา</x:v>
      </x:c>
      <x:c r="K17" t="str">
        <x:v>รอสอบเทียบก่อนพร้อมส่ง</x:v>
      </x:c>
      <x:c r="L17" t="str">
        <x:v>ไม่ได้เช่ายืม = รอสอบเทียบ</x:v>
      </x:c>
      <x:c r="M17" t="str">
        <x:f>IF(OR(H17="ใช้งานไม่ได้",H17="BROKEN",H17="Broken"),"ใช้งานไม่ได้",IF(OR(H17="ไม่พบในรายการ",H17="MISSING",H17="Missing"),"ไม่พบในรายการ",IF(OR(J17="เช่ายืม",J17="IN_USE",J17="IN-USE",H17="เช่ายืม"),"เช่ายืม",IF(H17="พร้อมส่ง","พร้อมส่ง","รอสอบเทียบ"))))</x:f>
        <x:v>รอสอบเทียบ</x:v>
      </x:c>
    </x:row>
    <x:row r="18">
      <x:c r="A18" t="str">
        <x:v>113499</x:v>
      </x:c>
      <x:c r="B18" t="str">
        <x:v>113499</x:v>
      </x:c>
      <x:c r="C18" t="str">
        <x:v>B.Braun</x:v>
      </x:c>
      <x:c r="D18" t="str">
        <x:v>Infusomat Space</x:v>
      </x:c>
      <x:c r="E18" t="str">
        <x:v>Infusomat Space</x:v>
      </x:c>
      <x:c r="F18" t="str">
        <x:v>BBRAUN_INFUSOMAT</x:v>
      </x:c>
      <x:c r="G18" t="str">
        <x:v>Warehouse</x:v>
      </x:c>
      <x:c r="H18" t="str">
        <x:v>รอสอบเทียบ</x:v>
      </x:c>
      <x:c r="I18" t="str">
        <x:v>รอสอบเทียบ</x:v>
      </x:c>
      <x:c r="J18" t="str">
        <x:v>ไม่มีสัญญา</x:v>
      </x:c>
      <x:c r="K18" t="str">
        <x:v>รอสอบเทียบก่อนพร้อมส่ง</x:v>
      </x:c>
      <x:c r="L18" t="str">
        <x:v>ไม่ได้เช่ายืม = รอสอบเทียบ</x:v>
      </x:c>
      <x:c r="M18" t="str">
        <x:f>IF(OR(H18="ใช้งานไม่ได้",H18="BROKEN",H18="Broken"),"ใช้งานไม่ได้",IF(OR(H18="ไม่พบในรายการ",H18="MISSING",H18="Missing"),"ไม่พบในรายการ",IF(OR(J18="เช่ายืม",J18="IN_USE",J18="IN-USE",H18="เช่ายืม"),"เช่ายืม",IF(H18="พร้อมส่ง","พร้อมส่ง","รอสอบเทียบ"))))</x:f>
        <x:v>รอสอบเทียบ</x:v>
      </x:c>
    </x:row>
    <x:row r="19">
      <x:c r="A19" t="str">
        <x:v>SN_113501</x:v>
      </x:c>
      <x:c r="B19" t="str">
        <x:v>113501</x:v>
      </x:c>
      <x:c r="C19" t="str">
        <x:v>B.Braun</x:v>
      </x:c>
      <x:c r="D19" t="str">
        <x:v>Infusomat Space</x:v>
      </x:c>
      <x:c r="E19" t="str">
        <x:v>Infusomat Space</x:v>
      </x:c>
      <x:c r="F19" t="str">
        <x:v>BBRAUN_INFUSOMAT</x:v>
      </x:c>
      <x:c r="G19" t="str">
        <x:v>Warehouse</x:v>
      </x:c>
      <x:c r="H19" t="str">
        <x:v>รอสอบเทียบ</x:v>
      </x:c>
      <x:c r="I19" t="str">
        <x:v>รอสอบเทียบ</x:v>
      </x:c>
      <x:c r="J19" t="str">
        <x:v>ไม่มีสัญญา</x:v>
      </x:c>
      <x:c r="K19" t="str">
        <x:v>รอสอบเทียบก่อนพร้อมส่ง</x:v>
      </x:c>
      <x:c r="L19" t="str">
        <x:v>ไม่ได้เช่ายืม = รอสอบเทียบ</x:v>
      </x:c>
      <x:c r="M19" t="str">
        <x:f>IF(OR(H19="ใช้งานไม่ได้",H19="BROKEN",H19="Broken"),"ใช้งานไม่ได้",IF(OR(H19="ไม่พบในรายการ",H19="MISSING",H19="Missing"),"ไม่พบในรายการ",IF(OR(J19="เช่ายืม",J19="IN_USE",J19="IN-USE",H19="เช่ายืม"),"เช่ายืม",IF(H19="พร้อมส่ง","พร้อมส่ง","รอสอบเทียบ"))))</x:f>
        <x:v>รอสอบเทียบ</x:v>
      </x:c>
    </x:row>
    <x:row r="20">
      <x:c r="A20" t="str">
        <x:v>113529</x:v>
      </x:c>
      <x:c r="B20" t="str">
        <x:v>113529</x:v>
      </x:c>
      <x:c r="C20" t="str">
        <x:v>B.Braun</x:v>
      </x:c>
      <x:c r="D20" t="str">
        <x:v>Infusomat Space</x:v>
      </x:c>
      <x:c r="E20" t="str">
        <x:v>Infusomat Space</x:v>
      </x:c>
      <x:c r="F20" t="str">
        <x:v>BBRAUN_INFUSOMAT</x:v>
      </x:c>
      <x:c r="G20" t="str">
        <x:v>Warehouse</x:v>
      </x:c>
      <x:c r="H20" t="str">
        <x:v>รอสอบเทียบ</x:v>
      </x:c>
      <x:c r="I20" t="str">
        <x:v>รอสอบเทียบ</x:v>
      </x:c>
      <x:c r="J20" t="str">
        <x:v>ไม่มีสัญญา</x:v>
      </x:c>
      <x:c r="K20" t="str">
        <x:v>รอสอบเทียบก่อนพร้อมส่ง</x:v>
      </x:c>
      <x:c r="L20" t="str">
        <x:v>ไม่ได้เช่ายืม = รอสอบเทียบ</x:v>
      </x:c>
      <x:c r="M20" t="str">
        <x:f>IF(OR(H20="ใช้งานไม่ได้",H20="BROKEN",H20="Broken"),"ใช้งานไม่ได้",IF(OR(H20="ไม่พบในรายการ",H20="MISSING",H20="Missing"),"ไม่พบในรายการ",IF(OR(J20="เช่ายืม",J20="IN_USE",J20="IN-USE",H20="เช่ายืม"),"เช่ายืม",IF(H20="พร้อมส่ง","พร้อมส่ง","รอสอบเทียบ"))))</x:f>
        <x:v>รอสอบเทียบ</x:v>
      </x:c>
    </x:row>
    <x:row r="21">
      <x:c r="A21" t="str">
        <x:v>SN_113532</x:v>
      </x:c>
      <x:c r="B21" t="str">
        <x:v>113532</x:v>
      </x:c>
      <x:c r="C21" t="str">
        <x:v>B.Braun</x:v>
      </x:c>
      <x:c r="D21" t="str">
        <x:v>Infusomat Space</x:v>
      </x:c>
      <x:c r="E21" t="str">
        <x:v>Infusomat Space</x:v>
      </x:c>
      <x:c r="F21" t="str">
        <x:v>BBRAUN_INFUSOMAT</x:v>
      </x:c>
      <x:c r="G21" t="str">
        <x:v>Warehouse</x:v>
      </x:c>
      <x:c r="H21" t="str">
        <x:v>รอสอบเทียบ</x:v>
      </x:c>
      <x:c r="I21" t="str">
        <x:v>รอสอบเทียบ</x:v>
      </x:c>
      <x:c r="J21" t="str">
        <x:v>ไม่มีสัญญา</x:v>
      </x:c>
      <x:c r="K21" t="str">
        <x:v>รอสอบเทียบก่อนพร้อมส่ง</x:v>
      </x:c>
      <x:c r="L21" t="str">
        <x:v>ไม่ได้เช่ายืม = รอสอบเทียบ</x:v>
      </x:c>
      <x:c r="M21" t="str">
        <x:f>IF(OR(H21="ใช้งานไม่ได้",H21="BROKEN",H21="Broken"),"ใช้งานไม่ได้",IF(OR(H21="ไม่พบในรายการ",H21="MISSING",H21="Missing"),"ไม่พบในรายการ",IF(OR(J21="เช่ายืม",J21="IN_USE",J21="IN-USE",H21="เช่ายืม"),"เช่ายืม",IF(H21="พร้อมส่ง","พร้อมส่ง","รอสอบเทียบ"))))</x:f>
        <x:v>รอสอบเทียบ</x:v>
      </x:c>
    </x:row>
    <x:row r="22">
      <x:c r="A22" t="str">
        <x:v>123891</x:v>
      </x:c>
      <x:c r="B22" t="str">
        <x:v>123891</x:v>
      </x:c>
      <x:c r="C22" t="str">
        <x:v>B.Braun</x:v>
      </x:c>
      <x:c r="D22" t="str">
        <x:v>Infusomat Space</x:v>
      </x:c>
      <x:c r="E22" t="str">
        <x:v>Infusomat Space</x:v>
      </x:c>
      <x:c r="F22" t="str">
        <x:v>BBRAUN_INFUSOMAT</x:v>
      </x:c>
      <x:c r="G22" t="str">
        <x:v>Warehouse</x:v>
      </x:c>
      <x:c r="H22" t="str">
        <x:v>รอสอบเทียบ</x:v>
      </x:c>
      <x:c r="I22" t="str">
        <x:v>รอสอบเทียบ</x:v>
      </x:c>
      <x:c r="J22" t="str">
        <x:v>ไม่มีสัญญา</x:v>
      </x:c>
      <x:c r="K22" t="str">
        <x:v>รอสอบเทียบก่อนพร้อมส่ง</x:v>
      </x:c>
      <x:c r="L22" t="str">
        <x:v>ไม่ได้เช่ายืม = รอสอบเทียบ</x:v>
      </x:c>
      <x:c r="M22" t="str">
        <x:f>IF(OR(H22="ใช้งานไม่ได้",H22="BROKEN",H22="Broken"),"ใช้งานไม่ได้",IF(OR(H22="ไม่พบในรายการ",H22="MISSING",H22="Missing"),"ไม่พบในรายการ",IF(OR(J22="เช่ายืม",J22="IN_USE",J22="IN-USE",H22="เช่ายืม"),"เช่ายืม",IF(H22="พร้อมส่ง","พร้อมส่ง","รอสอบเทียบ"))))</x:f>
        <x:v>รอสอบเทียบ</x:v>
      </x:c>
    </x:row>
    <x:row r="23">
      <x:c r="A23" t="str">
        <x:v>124163</x:v>
      </x:c>
      <x:c r="B23" t="str">
        <x:v>124163</x:v>
      </x:c>
      <x:c r="C23" t="str">
        <x:v>B.Braun</x:v>
      </x:c>
      <x:c r="D23" t="str">
        <x:v>Infusomat Space</x:v>
      </x:c>
      <x:c r="E23" t="str">
        <x:v>Infusomat Space</x:v>
      </x:c>
      <x:c r="F23" t="str">
        <x:v>BBRAUN_INFUSOMAT</x:v>
      </x:c>
      <x:c r="G23" t="str">
        <x:v>Warehouse</x:v>
      </x:c>
      <x:c r="H23" t="str">
        <x:v>รอสอบเทียบ</x:v>
      </x:c>
      <x:c r="I23" t="str">
        <x:v>รอสอบเทียบ</x:v>
      </x:c>
      <x:c r="J23" t="str">
        <x:v>ไม่มีสัญญา</x:v>
      </x:c>
      <x:c r="K23" t="str">
        <x:v>รอสอบเทียบก่อนพร้อมส่ง</x:v>
      </x:c>
      <x:c r="L23" t="str">
        <x:v>ไม่ได้เช่ายืม = รอสอบเทียบ</x:v>
      </x:c>
      <x:c r="M23" t="str">
        <x:f>IF(OR(H23="ใช้งานไม่ได้",H23="BROKEN",H23="Broken"),"ใช้งานไม่ได้",IF(OR(H23="ไม่พบในรายการ",H23="MISSING",H23="Missing"),"ไม่พบในรายการ",IF(OR(J23="เช่ายืม",J23="IN_USE",J23="IN-USE",H23="เช่ายืม"),"เช่ายืม",IF(H23="พร้อมส่ง","พร้อมส่ง","รอสอบเทียบ"))))</x:f>
        <x:v>รอสอบเทียบ</x:v>
      </x:c>
    </x:row>
    <x:row r="24">
      <x:c r="A24" t="str">
        <x:v>124184</x:v>
      </x:c>
      <x:c r="B24" t="str">
        <x:v>124184</x:v>
      </x:c>
      <x:c r="C24" t="str">
        <x:v>B.Braun</x:v>
      </x:c>
      <x:c r="D24" t="str">
        <x:v>Infusomat Space</x:v>
      </x:c>
      <x:c r="E24" t="str">
        <x:v>Infusomat Space</x:v>
      </x:c>
      <x:c r="F24" t="str">
        <x:v>BBRAUN_INFUSOMAT</x:v>
      </x:c>
      <x:c r="G24" t="str">
        <x:v>Warehouse</x:v>
      </x:c>
      <x:c r="H24" t="str">
        <x:v>รอสอบเทียบ</x:v>
      </x:c>
      <x:c r="I24" t="str">
        <x:v>รอสอบเทียบ</x:v>
      </x:c>
      <x:c r="J24" t="str">
        <x:v>ไม่มีสัญญา</x:v>
      </x:c>
      <x:c r="K24" t="str">
        <x:v>รอสอบเทียบก่อนพร้อมส่ง</x:v>
      </x:c>
      <x:c r="L24" t="str">
        <x:v>ไม่ได้เช่ายืม = รอสอบเทียบ</x:v>
      </x:c>
      <x:c r="M24" t="str">
        <x:f>IF(OR(H24="ใช้งานไม่ได้",H24="BROKEN",H24="Broken"),"ใช้งานไม่ได้",IF(OR(H24="ไม่พบในรายการ",H24="MISSING",H24="Missing"),"ไม่พบในรายการ",IF(OR(J24="เช่ายืม",J24="IN_USE",J24="IN-USE",H24="เช่ายืม"),"เช่ายืม",IF(H24="พร้อมส่ง","พร้อมส่ง","รอสอบเทียบ"))))</x:f>
        <x:v>รอสอบเทียบ</x:v>
      </x:c>
    </x:row>
    <x:row r="25">
      <x:c r="A25" t="str">
        <x:v>124225</x:v>
      </x:c>
      <x:c r="B25" t="str">
        <x:v>124225</x:v>
      </x:c>
      <x:c r="C25" t="str">
        <x:v>B.Braun</x:v>
      </x:c>
      <x:c r="D25" t="str">
        <x:v>Infusomat Space</x:v>
      </x:c>
      <x:c r="E25" t="str">
        <x:v>Infusomat Space</x:v>
      </x:c>
      <x:c r="F25" t="str">
        <x:v>BBRAUN_INFUSOMAT</x:v>
      </x:c>
      <x:c r="G25" t="str">
        <x:v>Warehouse</x:v>
      </x:c>
      <x:c r="H25" t="str">
        <x:v>รอสอบเทียบ</x:v>
      </x:c>
      <x:c r="I25" t="str">
        <x:v>รอสอบเทียบ</x:v>
      </x:c>
      <x:c r="J25" t="str">
        <x:v>ไม่มีสัญญา</x:v>
      </x:c>
      <x:c r="K25" t="str">
        <x:v>รอสอบเทียบก่อนพร้อมส่ง</x:v>
      </x:c>
      <x:c r="L25" t="str">
        <x:v>ไม่ได้เช่ายืม = รอสอบเทียบ</x:v>
      </x:c>
      <x:c r="M25" t="str">
        <x:f>IF(OR(H25="ใช้งานไม่ได้",H25="BROKEN",H25="Broken"),"ใช้งานไม่ได้",IF(OR(H25="ไม่พบในรายการ",H25="MISSING",H25="Missing"),"ไม่พบในรายการ",IF(OR(J25="เช่ายืม",J25="IN_USE",J25="IN-USE",H25="เช่ายืม"),"เช่ายืม",IF(H25="พร้อมส่ง","พร้อมส่ง","รอสอบเทียบ"))))</x:f>
        <x:v>รอสอบเทียบ</x:v>
      </x:c>
    </x:row>
    <x:row r="26">
      <x:c r="A26" t="str">
        <x:v>124240</x:v>
      </x:c>
      <x:c r="B26" t="str">
        <x:v>124240</x:v>
      </x:c>
      <x:c r="C26" t="str">
        <x:v>B.Braun</x:v>
      </x:c>
      <x:c r="D26" t="str">
        <x:v>Infusomat Space</x:v>
      </x:c>
      <x:c r="E26" t="str">
        <x:v>Infusomat Space</x:v>
      </x:c>
      <x:c r="F26" t="str">
        <x:v>BBRAUN_INFUSOMAT</x:v>
      </x:c>
      <x:c r="G26" t="str">
        <x:v>Warehouse</x:v>
      </x:c>
      <x:c r="H26" t="str">
        <x:v>รอสอบเทียบ</x:v>
      </x:c>
      <x:c r="I26" t="str">
        <x:v>รอสอบเทียบ</x:v>
      </x:c>
      <x:c r="J26" t="str">
        <x:v>ไม่มีสัญญา</x:v>
      </x:c>
      <x:c r="K26" t="str">
        <x:v>รอสอบเทียบก่อนพร้อมส่ง</x:v>
      </x:c>
      <x:c r="L26" t="str">
        <x:v>ไม่ได้เช่ายืม = รอสอบเทียบ</x:v>
      </x:c>
      <x:c r="M26" t="str">
        <x:f>IF(OR(H26="ใช้งานไม่ได้",H26="BROKEN",H26="Broken"),"ใช้งานไม่ได้",IF(OR(H26="ไม่พบในรายการ",H26="MISSING",H26="Missing"),"ไม่พบในรายการ",IF(OR(J26="เช่ายืม",J26="IN_USE",J26="IN-USE",H26="เช่ายืม"),"เช่ายืม",IF(H26="พร้อมส่ง","พร้อมส่ง","รอสอบเทียบ"))))</x:f>
        <x:v>รอสอบเทียบ</x:v>
      </x:c>
    </x:row>
    <x:row r="27">
      <x:c r="A27" t="str">
        <x:v>124244</x:v>
      </x:c>
      <x:c r="B27" t="str">
        <x:v>124244</x:v>
      </x:c>
      <x:c r="C27" t="str">
        <x:v>B.Braun</x:v>
      </x:c>
      <x:c r="D27" t="str">
        <x:v>Infusomat Space</x:v>
      </x:c>
      <x:c r="E27" t="str">
        <x:v>Infusomat Space</x:v>
      </x:c>
      <x:c r="F27" t="str">
        <x:v>BBRAUN_INFUSOMAT</x:v>
      </x:c>
      <x:c r="G27" t="str">
        <x:v>Warehouse</x:v>
      </x:c>
      <x:c r="H27" t="str">
        <x:v>รอสอบเทียบ</x:v>
      </x:c>
      <x:c r="I27" t="str">
        <x:v>รอสอบเทียบ</x:v>
      </x:c>
      <x:c r="J27" t="str">
        <x:v>ไม่มีสัญญา</x:v>
      </x:c>
      <x:c r="K27" t="str">
        <x:v>รอสอบเทียบก่อนพร้อมส่ง</x:v>
      </x:c>
      <x:c r="L27" t="str">
        <x:v>ไม่ได้เช่ายืม = รอสอบเทียบ</x:v>
      </x:c>
      <x:c r="M27" t="str">
        <x:f>IF(OR(H27="ใช้งานไม่ได้",H27="BROKEN",H27="Broken"),"ใช้งานไม่ได้",IF(OR(H27="ไม่พบในรายการ",H27="MISSING",H27="Missing"),"ไม่พบในรายการ",IF(OR(J27="เช่ายืม",J27="IN_USE",J27="IN-USE",H27="เช่ายืม"),"เช่ายืม",IF(H27="พร้อมส่ง","พร้อมส่ง","รอสอบเทียบ"))))</x:f>
        <x:v>รอสอบเทียบ</x:v>
      </x:c>
    </x:row>
    <x:row r="28">
      <x:c r="A28" t="str">
        <x:v>124331</x:v>
      </x:c>
      <x:c r="B28" t="str">
        <x:v>124331</x:v>
      </x:c>
      <x:c r="C28" t="str">
        <x:v>B.Braun</x:v>
      </x:c>
      <x:c r="D28" t="str">
        <x:v>Infusomat Space</x:v>
      </x:c>
      <x:c r="E28" t="str">
        <x:v>Infusomat Space</x:v>
      </x:c>
      <x:c r="F28" t="str">
        <x:v>BBRAUN_INFUSOMAT</x:v>
      </x:c>
      <x:c r="G28" t="str">
        <x:v>Warehouse</x:v>
      </x:c>
      <x:c r="H28" t="str">
        <x:v>รอสอบเทียบ</x:v>
      </x:c>
      <x:c r="I28" t="str">
        <x:v>รอสอบเทียบ</x:v>
      </x:c>
      <x:c r="J28" t="str">
        <x:v>ไม่มีสัญญา</x:v>
      </x:c>
      <x:c r="K28" t="str">
        <x:v>รอสอบเทียบก่อนพร้อมส่ง</x:v>
      </x:c>
      <x:c r="L28" t="str">
        <x:v>ไม่ได้เช่ายืม = รอสอบเทียบ</x:v>
      </x:c>
      <x:c r="M28" t="str">
        <x:f>IF(OR(H28="ใช้งานไม่ได้",H28="BROKEN",H28="Broken"),"ใช้งานไม่ได้",IF(OR(H28="ไม่พบในรายการ",H28="MISSING",H28="Missing"),"ไม่พบในรายการ",IF(OR(J28="เช่ายืม",J28="IN_USE",J28="IN-USE",H28="เช่ายืม"),"เช่ายืม",IF(H28="พร้อมส่ง","พร้อมส่ง","รอสอบเทียบ"))))</x:f>
        <x:v>รอสอบเทียบ</x:v>
      </x:c>
    </x:row>
    <x:row r="29">
      <x:c r="A29" t="str">
        <x:v>SN_124340</x:v>
      </x:c>
      <x:c r="B29" t="str">
        <x:v>124340</x:v>
      </x:c>
      <x:c r="C29" t="str">
        <x:v>B.Braun</x:v>
      </x:c>
      <x:c r="D29" t="str">
        <x:v>Infusomat Space</x:v>
      </x:c>
      <x:c r="E29" t="str">
        <x:v>Infusomat Space</x:v>
      </x:c>
      <x:c r="F29" t="str">
        <x:v>BBRAUN_INFUSOMAT</x:v>
      </x:c>
      <x:c r="G29" t="str">
        <x:v>Warehouse</x:v>
      </x:c>
      <x:c r="H29" t="str">
        <x:v>รอสอบเทียบ</x:v>
      </x:c>
      <x:c r="I29" t="str">
        <x:v>รอสอบเทียบ</x:v>
      </x:c>
      <x:c r="J29" t="str">
        <x:v>ไม่มีสัญญา</x:v>
      </x:c>
      <x:c r="K29" t="str">
        <x:v>รอสอบเทียบก่อนพร้อมส่ง</x:v>
      </x:c>
      <x:c r="L29" t="str">
        <x:v>ไม่ได้เช่ายืม = รอสอบเทียบ</x:v>
      </x:c>
      <x:c r="M29" t="str">
        <x:f>IF(OR(H29="ใช้งานไม่ได้",H29="BROKEN",H29="Broken"),"ใช้งานไม่ได้",IF(OR(H29="ไม่พบในรายการ",H29="MISSING",H29="Missing"),"ไม่พบในรายการ",IF(OR(J29="เช่ายืม",J29="IN_USE",J29="IN-USE",H29="เช่ายืม"),"เช่ายืม",IF(H29="พร้อมส่ง","พร้อมส่ง","รอสอบเทียบ"))))</x:f>
        <x:v>รอสอบเทียบ</x:v>
      </x:c>
    </x:row>
    <x:row r="30">
      <x:c r="A30" t="str">
        <x:v>124396</x:v>
      </x:c>
      <x:c r="B30" t="str">
        <x:v>124396</x:v>
      </x:c>
      <x:c r="C30" t="str">
        <x:v>B.Braun</x:v>
      </x:c>
      <x:c r="D30" t="str">
        <x:v>Infusomat Space</x:v>
      </x:c>
      <x:c r="E30" t="str">
        <x:v>Infusomat Space</x:v>
      </x:c>
      <x:c r="F30" t="str">
        <x:v>BBRAUN_INFUSOMAT</x:v>
      </x:c>
      <x:c r="G30" t="str">
        <x:v>ABSOLUTE HEALTH CLINIC</x:v>
      </x:c>
      <x:c r="H30" t="str">
        <x:v>เช่ายืม</x:v>
      </x:c>
      <x:c r="I30" t="str">
        <x:v>พร้อมส่ง</x:v>
      </x:c>
      <x:c r="J30" t="str">
        <x:v>เช่ายืม</x:v>
      </x:c>
      <x:c r="K30" t="str">
        <x:v>อยู่ระหว่างเช่ายืม / เกินกำหนดคืน 90 วัน</x:v>
      </x:c>
      <x:c r="L30"/>
      <x:c r="M30" t="str">
        <x:f>IF(OR(H30="ใช้งานไม่ได้",H30="BROKEN",H30="Broken"),"ใช้งานไม่ได้",IF(OR(H30="ไม่พบในรายการ",H30="MISSING",H30="Missing"),"ไม่พบในรายการ",IF(OR(J30="เช่ายืม",J30="IN_USE",J30="IN-USE",H30="เช่ายืม"),"เช่ายืม",IF(H30="พร้อมส่ง","พร้อมส่ง","รอสอบเทียบ"))))</x:f>
        <x:v>เช่ายืม</x:v>
      </x:c>
    </x:row>
    <x:row r="31">
      <x:c r="A31" t="str">
        <x:v>124461</x:v>
      </x:c>
      <x:c r="B31" t="str">
        <x:v>124461</x:v>
      </x:c>
      <x:c r="C31" t="str">
        <x:v>B.Braun</x:v>
      </x:c>
      <x:c r="D31" t="str">
        <x:v>Infusomat Space</x:v>
      </x:c>
      <x:c r="E31" t="str">
        <x:v>Infusomat Space</x:v>
      </x:c>
      <x:c r="F31" t="str">
        <x:v>BBRAUN_INFUSOMAT</x:v>
      </x:c>
      <x:c r="G31" t="str">
        <x:v>Warehouse</x:v>
      </x:c>
      <x:c r="H31" t="str">
        <x:v>รอสอบเทียบ</x:v>
      </x:c>
      <x:c r="I31" t="str">
        <x:v>รอสอบเทียบ</x:v>
      </x:c>
      <x:c r="J31" t="str">
        <x:v>ไม่มีสัญญา</x:v>
      </x:c>
      <x:c r="K31" t="str">
        <x:v>รอสอบเทียบก่อนพร้อมส่ง</x:v>
      </x:c>
      <x:c r="L31" t="str">
        <x:v>ไม่ได้เช่ายืม = รอสอบเทียบ</x:v>
      </x:c>
      <x:c r="M31" t="str">
        <x:f>IF(OR(H31="ใช้งานไม่ได้",H31="BROKEN",H31="Broken"),"ใช้งานไม่ได้",IF(OR(H31="ไม่พบในรายการ",H31="MISSING",H31="Missing"),"ไม่พบในรายการ",IF(OR(J31="เช่ายืม",J31="IN_USE",J31="IN-USE",H31="เช่ายืม"),"เช่ายืม",IF(H31="พร้อมส่ง","พร้อมส่ง","รอสอบเทียบ"))))</x:f>
        <x:v>รอสอบเทียบ</x:v>
      </x:c>
    </x:row>
    <x:row r="32">
      <x:c r="A32" t="str">
        <x:v>124472</x:v>
      </x:c>
      <x:c r="B32" t="str">
        <x:v>124472</x:v>
      </x:c>
      <x:c r="C32" t="str">
        <x:v>B.Braun</x:v>
      </x:c>
      <x:c r="D32" t="str">
        <x:v>Infusomat Space</x:v>
      </x:c>
      <x:c r="E32" t="str">
        <x:v>Infusomat Space</x:v>
      </x:c>
      <x:c r="F32" t="str">
        <x:v>BBRAUN_INFUSOMAT</x:v>
      </x:c>
      <x:c r="G32" t="str">
        <x:v>Warehouse</x:v>
      </x:c>
      <x:c r="H32" t="str">
        <x:v>รอสอบเทียบ</x:v>
      </x:c>
      <x:c r="I32" t="str">
        <x:v>รอสอบเทียบ</x:v>
      </x:c>
      <x:c r="J32" t="str">
        <x:v>ไม่มีสัญญา</x:v>
      </x:c>
      <x:c r="K32" t="str">
        <x:v>รอสอบเทียบก่อนพร้อมส่ง</x:v>
      </x:c>
      <x:c r="L32" t="str">
        <x:v>ไม่ได้เช่ายืม = รอสอบเทียบ</x:v>
      </x:c>
      <x:c r="M32" t="str">
        <x:f>IF(OR(H32="ใช้งานไม่ได้",H32="BROKEN",H32="Broken"),"ใช้งานไม่ได้",IF(OR(H32="ไม่พบในรายการ",H32="MISSING",H32="Missing"),"ไม่พบในรายการ",IF(OR(J32="เช่ายืม",J32="IN_USE",J32="IN-USE",H32="เช่ายืม"),"เช่ายืม",IF(H32="พร้อมส่ง","พร้อมส่ง","รอสอบเทียบ"))))</x:f>
        <x:v>รอสอบเทียบ</x:v>
      </x:c>
    </x:row>
    <x:row r="33">
      <x:c r="A33" t="str">
        <x:v>124488</x:v>
      </x:c>
      <x:c r="B33" t="str">
        <x:v>124488</x:v>
      </x:c>
      <x:c r="C33" t="str">
        <x:v>B.Braun</x:v>
      </x:c>
      <x:c r="D33" t="str">
        <x:v>Infusomat Space</x:v>
      </x:c>
      <x:c r="E33" t="str">
        <x:v>Infusomat Space</x:v>
      </x:c>
      <x:c r="F33" t="str">
        <x:v>BBRAUN_INFUSOMAT</x:v>
      </x:c>
      <x:c r="G33" t="str">
        <x:v>Warehouse</x:v>
      </x:c>
      <x:c r="H33" t="str">
        <x:v>รอสอบเทียบ</x:v>
      </x:c>
      <x:c r="I33" t="str">
        <x:v>รอสอบเทียบ</x:v>
      </x:c>
      <x:c r="J33" t="str">
        <x:v>ไม่มีสัญญา</x:v>
      </x:c>
      <x:c r="K33" t="str">
        <x:v>รอสอบเทียบก่อนพร้อมส่ง</x:v>
      </x:c>
      <x:c r="L33" t="str">
        <x:v>ไม่ได้เช่ายืม = รอสอบเทียบ</x:v>
      </x:c>
      <x:c r="M33" t="str">
        <x:f>IF(OR(H33="ใช้งานไม่ได้",H33="BROKEN",H33="Broken"),"ใช้งานไม่ได้",IF(OR(H33="ไม่พบในรายการ",H33="MISSING",H33="Missing"),"ไม่พบในรายการ",IF(OR(J33="เช่ายืม",J33="IN_USE",J33="IN-USE",H33="เช่ายืม"),"เช่ายืม",IF(H33="พร้อมส่ง","พร้อมส่ง","รอสอบเทียบ"))))</x:f>
        <x:v>รอสอบเทียบ</x:v>
      </x:c>
    </x:row>
    <x:row r="34">
      <x:c r="A34" t="str">
        <x:v>124525</x:v>
      </x:c>
      <x:c r="B34" t="str">
        <x:v>124525</x:v>
      </x:c>
      <x:c r="C34" t="str">
        <x:v>B.Braun</x:v>
      </x:c>
      <x:c r="D34" t="str">
        <x:v>Infusomat Space</x:v>
      </x:c>
      <x:c r="E34" t="str">
        <x:v>Infusomat Space</x:v>
      </x:c>
      <x:c r="F34" t="str">
        <x:v>BBRAUN_INFUSOMAT</x:v>
      </x:c>
      <x:c r="G34" t="str">
        <x:v>Warehouse</x:v>
      </x:c>
      <x:c r="H34" t="str">
        <x:v>รอสอบเทียบ</x:v>
      </x:c>
      <x:c r="I34" t="str">
        <x:v>รอสอบเทียบ</x:v>
      </x:c>
      <x:c r="J34" t="str">
        <x:v>ไม่มีสัญญา</x:v>
      </x:c>
      <x:c r="K34" t="str">
        <x:v>รอสอบเทียบก่อนพร้อมส่ง</x:v>
      </x:c>
      <x:c r="L34" t="str">
        <x:v>ไม่ได้เช่ายืม = รอสอบเทียบ</x:v>
      </x:c>
      <x:c r="M34" t="str">
        <x:f>IF(OR(H34="ใช้งานไม่ได้",H34="BROKEN",H34="Broken"),"ใช้งานไม่ได้",IF(OR(H34="ไม่พบในรายการ",H34="MISSING",H34="Missing"),"ไม่พบในรายการ",IF(OR(J34="เช่ายืม",J34="IN_USE",J34="IN-USE",H34="เช่ายืม"),"เช่ายืม",IF(H34="พร้อมส่ง","พร้อมส่ง","รอสอบเทียบ"))))</x:f>
        <x:v>รอสอบเทียบ</x:v>
      </x:c>
    </x:row>
    <x:row r="35">
      <x:c r="A35" t="str">
        <x:v>SN_124565</x:v>
      </x:c>
      <x:c r="B35" t="str">
        <x:v>124565</x:v>
      </x:c>
      <x:c r="C35" t="str">
        <x:v>B.Braun</x:v>
      </x:c>
      <x:c r="D35" t="str">
        <x:v>Infusomat Space</x:v>
      </x:c>
      <x:c r="E35" t="str">
        <x:v>Infusomat Space</x:v>
      </x:c>
      <x:c r="F35" t="str">
        <x:v>BBRAUN_INFUSOMAT</x:v>
      </x:c>
      <x:c r="G35" t="str">
        <x:v>Warehouse</x:v>
      </x:c>
      <x:c r="H35" t="str">
        <x:v>รอสอบเทียบ</x:v>
      </x:c>
      <x:c r="I35" t="str">
        <x:v>รอสอบเทียบ</x:v>
      </x:c>
      <x:c r="J35" t="str">
        <x:v>ไม่มีสัญญา</x:v>
      </x:c>
      <x:c r="K35" t="str">
        <x:v>รอสอบเทียบก่อนพร้อมส่ง</x:v>
      </x:c>
      <x:c r="L35" t="str">
        <x:v>ไม่ได้เช่ายืม = รอสอบเทียบ</x:v>
      </x:c>
      <x:c r="M35" t="str">
        <x:f>IF(OR(H35="ใช้งานไม่ได้",H35="BROKEN",H35="Broken"),"ใช้งานไม่ได้",IF(OR(H35="ไม่พบในรายการ",H35="MISSING",H35="Missing"),"ไม่พบในรายการ",IF(OR(J35="เช่ายืม",J35="IN_USE",J35="IN-USE",H35="เช่ายืม"),"เช่ายืม",IF(H35="พร้อมส่ง","พร้อมส่ง","รอสอบเทียบ"))))</x:f>
        <x:v>รอสอบเทียบ</x:v>
      </x:c>
    </x:row>
    <x:row r="36">
      <x:c r="A36" t="str">
        <x:v>124587</x:v>
      </x:c>
      <x:c r="B36" t="str">
        <x:v>124587</x:v>
      </x:c>
      <x:c r="C36" t="str">
        <x:v>B.Braun</x:v>
      </x:c>
      <x:c r="D36" t="str">
        <x:v>Infusomat Space</x:v>
      </x:c>
      <x:c r="E36" t="str">
        <x:v>Infusomat Space</x:v>
      </x:c>
      <x:c r="F36" t="str">
        <x:v>BBRAUN_INFUSOMAT</x:v>
      </x:c>
      <x:c r="G36" t="str">
        <x:v>Warehouse</x:v>
      </x:c>
      <x:c r="H36" t="str">
        <x:v>รอสอบเทียบ</x:v>
      </x:c>
      <x:c r="I36" t="str">
        <x:v>รอสอบเทียบ</x:v>
      </x:c>
      <x:c r="J36" t="str">
        <x:v>ไม่มีสัญญา</x:v>
      </x:c>
      <x:c r="K36" t="str">
        <x:v>รอสอบเทียบก่อนพร้อมส่ง</x:v>
      </x:c>
      <x:c r="L36" t="str">
        <x:v>ไม่ได้เช่ายืม = รอสอบเทียบ</x:v>
      </x:c>
      <x:c r="M36" t="str">
        <x:f>IF(OR(H36="ใช้งานไม่ได้",H36="BROKEN",H36="Broken"),"ใช้งานไม่ได้",IF(OR(H36="ไม่พบในรายการ",H36="MISSING",H36="Missing"),"ไม่พบในรายการ",IF(OR(J36="เช่ายืม",J36="IN_USE",J36="IN-USE",H36="เช่ายืม"),"เช่ายืม",IF(H36="พร้อมส่ง","พร้อมส่ง","รอสอบเทียบ"))))</x:f>
        <x:v>รอสอบเทียบ</x:v>
      </x:c>
    </x:row>
    <x:row r="37">
      <x:c r="A37" t="str">
        <x:v>124634</x:v>
      </x:c>
      <x:c r="B37" t="str">
        <x:v>124634</x:v>
      </x:c>
      <x:c r="C37" t="str">
        <x:v>B.Braun</x:v>
      </x:c>
      <x:c r="D37" t="str">
        <x:v>Infusomat Space</x:v>
      </x:c>
      <x:c r="E37" t="str">
        <x:v>Infusomat Space</x:v>
      </x:c>
      <x:c r="F37" t="str">
        <x:v>BBRAUN_INFUSOMAT</x:v>
      </x:c>
      <x:c r="G37" t="str">
        <x:v>Warehouse</x:v>
      </x:c>
      <x:c r="H37" t="str">
        <x:v>รอสอบเทียบ</x:v>
      </x:c>
      <x:c r="I37" t="str">
        <x:v>รอสอบเทียบ</x:v>
      </x:c>
      <x:c r="J37" t="str">
        <x:v>ไม่มีสัญญา</x:v>
      </x:c>
      <x:c r="K37" t="str">
        <x:v>รอสอบเทียบก่อนพร้อมส่ง</x:v>
      </x:c>
      <x:c r="L37" t="str">
        <x:v>ไม่ได้เช่ายืม = รอสอบเทียบ</x:v>
      </x:c>
      <x:c r="M37" t="str">
        <x:f>IF(OR(H37="ใช้งานไม่ได้",H37="BROKEN",H37="Broken"),"ใช้งานไม่ได้",IF(OR(H37="ไม่พบในรายการ",H37="MISSING",H37="Missing"),"ไม่พบในรายการ",IF(OR(J37="เช่ายืม",J37="IN_USE",J37="IN-USE",H37="เช่ายืม"),"เช่ายืม",IF(H37="พร้อมส่ง","พร้อมส่ง","รอสอบเทียบ"))))</x:f>
        <x:v>รอสอบเทียบ</x:v>
      </x:c>
    </x:row>
    <x:row r="38">
      <x:c r="A38" t="str">
        <x:v>124653</x:v>
      </x:c>
      <x:c r="B38" t="str">
        <x:v>NHBB0172</x:v>
      </x:c>
      <x:c r="C38" t="str">
        <x:v>B.Braun</x:v>
      </x:c>
      <x:c r="D38" t="str">
        <x:v>Infusomat Space</x:v>
      </x:c>
      <x:c r="E38" t="str">
        <x:v>Infusomat Space</x:v>
      </x:c>
      <x:c r="F38" t="str">
        <x:v>BBRAUN_INFUSOMAT</x:v>
      </x:c>
      <x:c r="G38" t="str">
        <x:v>รับคืนจาก Viva</x:v>
      </x:c>
      <x:c r="H38" t="str">
        <x:v>เช่ายืม</x:v>
      </x:c>
      <x:c r="I38" t="str">
        <x:v>พร้อมส่ง</x:v>
      </x:c>
      <x:c r="J38" t="str">
        <x:v>เช่ายืม</x:v>
      </x:c>
      <x:c r="K38" t="str">
        <x:v>No action</x:v>
      </x:c>
      <x:c r="L38"/>
      <x:c r="M38" t="str">
        <x:f>IF(OR(H38="ใช้งานไม่ได้",H38="BROKEN",H38="Broken"),"ใช้งานไม่ได้",IF(OR(H38="ไม่พบในรายการ",H38="MISSING",H38="Missing"),"ไม่พบในรายการ",IF(OR(J38="เช่ายืม",J38="IN_USE",J38="IN-USE",H38="เช่ายืม"),"เช่ายืม",IF(H38="พร้อมส่ง","พร้อมส่ง","รอสอบเทียบ"))))</x:f>
        <x:v>เช่ายืม</x:v>
      </x:c>
    </x:row>
    <x:row r="39">
      <x:c r="A39" t="str">
        <x:v>124658</x:v>
      </x:c>
      <x:c r="B39" t="str">
        <x:v>124658</x:v>
      </x:c>
      <x:c r="C39" t="str">
        <x:v>B.Braun</x:v>
      </x:c>
      <x:c r="D39" t="str">
        <x:v>Infusomat Space</x:v>
      </x:c>
      <x:c r="E39" t="str">
        <x:v>Infusomat Space</x:v>
      </x:c>
      <x:c r="F39" t="str">
        <x:v>BBRAUN_INFUSOMAT</x:v>
      </x:c>
      <x:c r="G39" t="str">
        <x:v>Warehouse</x:v>
      </x:c>
      <x:c r="H39" t="str">
        <x:v>รอสอบเทียบ</x:v>
      </x:c>
      <x:c r="I39" t="str">
        <x:v>รอสอบเทียบ</x:v>
      </x:c>
      <x:c r="J39" t="str">
        <x:v>ไม่มีสัญญา</x:v>
      </x:c>
      <x:c r="K39" t="str">
        <x:v>รอสอบเทียบก่อนพร้อมส่ง</x:v>
      </x:c>
      <x:c r="L39" t="str">
        <x:v>ไม่ได้เช่ายืม = รอสอบเทียบ</x:v>
      </x:c>
      <x:c r="M39" t="str">
        <x:f>IF(OR(H39="ใช้งานไม่ได้",H39="BROKEN",H39="Broken"),"ใช้งานไม่ได้",IF(OR(H39="ไม่พบในรายการ",H39="MISSING",H39="Missing"),"ไม่พบในรายการ",IF(OR(J39="เช่ายืม",J39="IN_USE",J39="IN-USE",H39="เช่ายืม"),"เช่ายืม",IF(H39="พร้อมส่ง","พร้อมส่ง","รอสอบเทียบ"))))</x:f>
        <x:v>รอสอบเทียบ</x:v>
      </x:c>
    </x:row>
    <x:row r="40">
      <x:c r="A40" t="str">
        <x:v>124675</x:v>
      </x:c>
      <x:c r="B40" t="str">
        <x:v>124675</x:v>
      </x:c>
      <x:c r="C40" t="str">
        <x:v>B.Braun</x:v>
      </x:c>
      <x:c r="D40" t="str">
        <x:v>Infusomat Space</x:v>
      </x:c>
      <x:c r="E40" t="str">
        <x:v>Infusomat Space</x:v>
      </x:c>
      <x:c r="F40" t="str">
        <x:v>BBRAUN_INFUSOMAT</x:v>
      </x:c>
      <x:c r="G40" t="str">
        <x:v>Warehouse</x:v>
      </x:c>
      <x:c r="H40" t="str">
        <x:v>รอสอบเทียบ</x:v>
      </x:c>
      <x:c r="I40" t="str">
        <x:v>รอสอบเทียบ</x:v>
      </x:c>
      <x:c r="J40" t="str">
        <x:v>ไม่มีสัญญา</x:v>
      </x:c>
      <x:c r="K40" t="str">
        <x:v>รอสอบเทียบก่อนพร้อมส่ง</x:v>
      </x:c>
      <x:c r="L40" t="str">
        <x:v>ไม่ได้เช่ายืม = รอสอบเทียบ</x:v>
      </x:c>
      <x:c r="M40" t="str">
        <x:f>IF(OR(H40="ใช้งานไม่ได้",H40="BROKEN",H40="Broken"),"ใช้งานไม่ได้",IF(OR(H40="ไม่พบในรายการ",H40="MISSING",H40="Missing"),"ไม่พบในรายการ",IF(OR(J40="เช่ายืม",J40="IN_USE",J40="IN-USE",H40="เช่ายืม"),"เช่ายืม",IF(H40="พร้อมส่ง","พร้อมส่ง","รอสอบเทียบ"))))</x:f>
        <x:v>รอสอบเทียบ</x:v>
      </x:c>
    </x:row>
    <x:row r="41">
      <x:c r="A41" t="str">
        <x:v>124683</x:v>
      </x:c>
      <x:c r="B41" t="str">
        <x:v>124683</x:v>
      </x:c>
      <x:c r="C41" t="str">
        <x:v>B.Braun</x:v>
      </x:c>
      <x:c r="D41" t="str">
        <x:v>Infusomat Space</x:v>
      </x:c>
      <x:c r="E41" t="str">
        <x:v>Infusomat Space</x:v>
      </x:c>
      <x:c r="F41" t="str">
        <x:v>BBRAUN_INFUSOMAT</x:v>
      </x:c>
      <x:c r="G41" t="str">
        <x:v>Warehouse</x:v>
      </x:c>
      <x:c r="H41" t="str">
        <x:v>รอสอบเทียบ</x:v>
      </x:c>
      <x:c r="I41" t="str">
        <x:v>รอสอบเทียบ</x:v>
      </x:c>
      <x:c r="J41" t="str">
        <x:v>ไม่มีสัญญา</x:v>
      </x:c>
      <x:c r="K41" t="str">
        <x:v>รอสอบเทียบก่อนพร้อมส่ง</x:v>
      </x:c>
      <x:c r="L41" t="str">
        <x:v>ไม่ได้เช่ายืม = รอสอบเทียบ</x:v>
      </x:c>
      <x:c r="M41" t="str">
        <x:f>IF(OR(H41="ใช้งานไม่ได้",H41="BROKEN",H41="Broken"),"ใช้งานไม่ได้",IF(OR(H41="ไม่พบในรายการ",H41="MISSING",H41="Missing"),"ไม่พบในรายการ",IF(OR(J41="เช่ายืม",J41="IN_USE",J41="IN-USE",H41="เช่ายืม"),"เช่ายืม",IF(H41="พร้อมส่ง","พร้อมส่ง","รอสอบเทียบ"))))</x:f>
        <x:v>รอสอบเทียบ</x:v>
      </x:c>
    </x:row>
    <x:row r="42">
      <x:c r="A42" t="str">
        <x:v>124686</x:v>
      </x:c>
      <x:c r="B42" t="str">
        <x:v>124686</x:v>
      </x:c>
      <x:c r="C42" t="str">
        <x:v>B.Braun</x:v>
      </x:c>
      <x:c r="D42" t="str">
        <x:v>Infusomat Space</x:v>
      </x:c>
      <x:c r="E42" t="str">
        <x:v>Infusomat Space</x:v>
      </x:c>
      <x:c r="F42" t="str">
        <x:v>BBRAUN_INFUSOMAT</x:v>
      </x:c>
      <x:c r="G42" t="str">
        <x:v>Warehouse</x:v>
      </x:c>
      <x:c r="H42" t="str">
        <x:v>รอสอบเทียบ</x:v>
      </x:c>
      <x:c r="I42" t="str">
        <x:v>รอสอบเทียบ</x:v>
      </x:c>
      <x:c r="J42" t="str">
        <x:v>ไม่มีสัญญา</x:v>
      </x:c>
      <x:c r="K42" t="str">
        <x:v>รอสอบเทียบก่อนพร้อมส่ง</x:v>
      </x:c>
      <x:c r="L42" t="str">
        <x:v>ไม่ได้เช่ายืม = รอสอบเทียบ</x:v>
      </x:c>
      <x:c r="M42" t="str">
        <x:f>IF(OR(H42="ใช้งานไม่ได้",H42="BROKEN",H42="Broken"),"ใช้งานไม่ได้",IF(OR(H42="ไม่พบในรายการ",H42="MISSING",H42="Missing"),"ไม่พบในรายการ",IF(OR(J42="เช่ายืม",J42="IN_USE",J42="IN-USE",H42="เช่ายืม"),"เช่ายืม",IF(H42="พร้อมส่ง","พร้อมส่ง","รอสอบเทียบ"))))</x:f>
        <x:v>รอสอบเทียบ</x:v>
      </x:c>
    </x:row>
    <x:row r="43">
      <x:c r="A43" t="str">
        <x:v>124694</x:v>
      </x:c>
      <x:c r="B43" t="str">
        <x:v>124694</x:v>
      </x:c>
      <x:c r="C43" t="str">
        <x:v>B.Braun</x:v>
      </x:c>
      <x:c r="D43" t="str">
        <x:v>Infusomat Space</x:v>
      </x:c>
      <x:c r="E43" t="str">
        <x:v>Infusomat Space</x:v>
      </x:c>
      <x:c r="F43" t="str">
        <x:v>BBRAUN_INFUSOMAT</x:v>
      </x:c>
      <x:c r="G43" t="str">
        <x:v>Warehouse</x:v>
      </x:c>
      <x:c r="H43" t="str">
        <x:v>รอสอบเทียบ</x:v>
      </x:c>
      <x:c r="I43" t="str">
        <x:v>รอสอบเทียบ</x:v>
      </x:c>
      <x:c r="J43" t="str">
        <x:v>ไม่มีสัญญา</x:v>
      </x:c>
      <x:c r="K43" t="str">
        <x:v>รอสอบเทียบก่อนพร้อมส่ง</x:v>
      </x:c>
      <x:c r="L43" t="str">
        <x:v>ไม่ได้เช่ายืม = รอสอบเทียบ</x:v>
      </x:c>
      <x:c r="M43" t="str">
        <x:f>IF(OR(H43="ใช้งานไม่ได้",H43="BROKEN",H43="Broken"),"ใช้งานไม่ได้",IF(OR(H43="ไม่พบในรายการ",H43="MISSING",H43="Missing"),"ไม่พบในรายการ",IF(OR(J43="เช่ายืม",J43="IN_USE",J43="IN-USE",H43="เช่ายืม"),"เช่ายืม",IF(H43="พร้อมส่ง","พร้อมส่ง","รอสอบเทียบ"))))</x:f>
        <x:v>รอสอบเทียบ</x:v>
      </x:c>
    </x:row>
    <x:row r="44">
      <x:c r="A44" t="str">
        <x:v>124701</x:v>
      </x:c>
      <x:c r="B44" t="str">
        <x:v>124701</x:v>
      </x:c>
      <x:c r="C44" t="str">
        <x:v>B.Braun</x:v>
      </x:c>
      <x:c r="D44" t="str">
        <x:v>Infusomat Space</x:v>
      </x:c>
      <x:c r="E44" t="str">
        <x:v>Infusomat Space</x:v>
      </x:c>
      <x:c r="F44" t="str">
        <x:v>BBRAUN_INFUSOMAT</x:v>
      </x:c>
      <x:c r="G44" t="str">
        <x:v>Warehouse</x:v>
      </x:c>
      <x:c r="H44" t="str">
        <x:v>รอสอบเทียบ</x:v>
      </x:c>
      <x:c r="I44" t="str">
        <x:v>รอสอบเทียบ</x:v>
      </x:c>
      <x:c r="J44" t="str">
        <x:v>ไม่มีสัญญา</x:v>
      </x:c>
      <x:c r="K44" t="str">
        <x:v>รอสอบเทียบก่อนพร้อมส่ง</x:v>
      </x:c>
      <x:c r="L44" t="str">
        <x:v>ไม่ได้เช่ายืม = รอสอบเทียบ</x:v>
      </x:c>
      <x:c r="M44" t="str">
        <x:f>IF(OR(H44="ใช้งานไม่ได้",H44="BROKEN",H44="Broken"),"ใช้งานไม่ได้",IF(OR(H44="ไม่พบในรายการ",H44="MISSING",H44="Missing"),"ไม่พบในรายการ",IF(OR(J44="เช่ายืม",J44="IN_USE",J44="IN-USE",H44="เช่ายืม"),"เช่ายืม",IF(H44="พร้อมส่ง","พร้อมส่ง","รอสอบเทียบ"))))</x:f>
        <x:v>รอสอบเทียบ</x:v>
      </x:c>
    </x:row>
    <x:row r="45">
      <x:c r="A45" t="str">
        <x:v>124704</x:v>
      </x:c>
      <x:c r="B45" t="str">
        <x:v>124704</x:v>
      </x:c>
      <x:c r="C45" t="str">
        <x:v>B.Braun</x:v>
      </x:c>
      <x:c r="D45" t="str">
        <x:v>Infusomat Space</x:v>
      </x:c>
      <x:c r="E45" t="str">
        <x:v>Infusomat Space</x:v>
      </x:c>
      <x:c r="F45" t="str">
        <x:v>BBRAUN_INFUSOMAT</x:v>
      </x:c>
      <x:c r="G45" t="str">
        <x:v>Warehouse</x:v>
      </x:c>
      <x:c r="H45" t="str">
        <x:v>รอสอบเทียบ</x:v>
      </x:c>
      <x:c r="I45" t="str">
        <x:v>รอสอบเทียบ</x:v>
      </x:c>
      <x:c r="J45" t="str">
        <x:v>ไม่มีสัญญา</x:v>
      </x:c>
      <x:c r="K45" t="str">
        <x:v>รอสอบเทียบก่อนพร้อมส่ง</x:v>
      </x:c>
      <x:c r="L45" t="str">
        <x:v>ไม่ได้เช่ายืม = รอสอบเทียบ</x:v>
      </x:c>
      <x:c r="M45" t="str">
        <x:f>IF(OR(H45="ใช้งานไม่ได้",H45="BROKEN",H45="Broken"),"ใช้งานไม่ได้",IF(OR(H45="ไม่พบในรายการ",H45="MISSING",H45="Missing"),"ไม่พบในรายการ",IF(OR(J45="เช่ายืม",J45="IN_USE",J45="IN-USE",H45="เช่ายืม"),"เช่ายืม",IF(H45="พร้อมส่ง","พร้อมส่ง","รอสอบเทียบ"))))</x:f>
        <x:v>รอสอบเทียบ</x:v>
      </x:c>
    </x:row>
    <x:row r="46">
      <x:c r="A46" t="str">
        <x:v>124720</x:v>
      </x:c>
      <x:c r="B46" t="str">
        <x:v>124720</x:v>
      </x:c>
      <x:c r="C46" t="str">
        <x:v>B.Braun</x:v>
      </x:c>
      <x:c r="D46" t="str">
        <x:v>Infusomat Space</x:v>
      </x:c>
      <x:c r="E46" t="str">
        <x:v>Infusomat Space</x:v>
      </x:c>
      <x:c r="F46" t="str">
        <x:v>BBRAUN_INFUSOMAT</x:v>
      </x:c>
      <x:c r="G46" t="str">
        <x:v>Warehouse</x:v>
      </x:c>
      <x:c r="H46" t="str">
        <x:v>รอสอบเทียบ</x:v>
      </x:c>
      <x:c r="I46" t="str">
        <x:v>รอสอบเทียบ</x:v>
      </x:c>
      <x:c r="J46" t="str">
        <x:v>ไม่มีสัญญา</x:v>
      </x:c>
      <x:c r="K46" t="str">
        <x:v>รอสอบเทียบก่อนพร้อมส่ง</x:v>
      </x:c>
      <x:c r="L46" t="str">
        <x:v>ไม่ได้เช่ายืม = รอสอบเทียบ</x:v>
      </x:c>
      <x:c r="M46" t="str">
        <x:f>IF(OR(H46="ใช้งานไม่ได้",H46="BROKEN",H46="Broken"),"ใช้งานไม่ได้",IF(OR(H46="ไม่พบในรายการ",H46="MISSING",H46="Missing"),"ไม่พบในรายการ",IF(OR(J46="เช่ายืม",J46="IN_USE",J46="IN-USE",H46="เช่ายืม"),"เช่ายืม",IF(H46="พร้อมส่ง","พร้อมส่ง","รอสอบเทียบ"))))</x:f>
        <x:v>รอสอบเทียบ</x:v>
      </x:c>
    </x:row>
    <x:row r="47">
      <x:c r="A47" t="str">
        <x:v>124736</x:v>
      </x:c>
      <x:c r="B47" t="str">
        <x:v>124736</x:v>
      </x:c>
      <x:c r="C47" t="str">
        <x:v>B.Braun</x:v>
      </x:c>
      <x:c r="D47" t="str">
        <x:v>Infusomat Space</x:v>
      </x:c>
      <x:c r="E47" t="str">
        <x:v>Infusomat Space</x:v>
      </x:c>
      <x:c r="F47" t="str">
        <x:v>BBRAUN_INFUSOMAT</x:v>
      </x:c>
      <x:c r="G47" t="str">
        <x:v>Warehouse</x:v>
      </x:c>
      <x:c r="H47" t="str">
        <x:v>รอสอบเทียบ</x:v>
      </x:c>
      <x:c r="I47" t="str">
        <x:v>รอสอบเทียบ</x:v>
      </x:c>
      <x:c r="J47" t="str">
        <x:v>ไม่มีสัญญา</x:v>
      </x:c>
      <x:c r="K47" t="str">
        <x:v>รอสอบเทียบก่อนพร้อมส่ง</x:v>
      </x:c>
      <x:c r="L47" t="str">
        <x:v>ไม่ได้เช่ายืม = รอสอบเทียบ</x:v>
      </x:c>
      <x:c r="M47" t="str">
        <x:f>IF(OR(H47="ใช้งานไม่ได้",H47="BROKEN",H47="Broken"),"ใช้งานไม่ได้",IF(OR(H47="ไม่พบในรายการ",H47="MISSING",H47="Missing"),"ไม่พบในรายการ",IF(OR(J47="เช่ายืม",J47="IN_USE",J47="IN-USE",H47="เช่ายืม"),"เช่ายืม",IF(H47="พร้อมส่ง","พร้อมส่ง","รอสอบเทียบ"))))</x:f>
        <x:v>รอสอบเทียบ</x:v>
      </x:c>
    </x:row>
    <x:row r="48">
      <x:c r="A48" t="str">
        <x:v>124744</x:v>
      </x:c>
      <x:c r="B48" t="str">
        <x:v>124744</x:v>
      </x:c>
      <x:c r="C48" t="str">
        <x:v>B.Braun</x:v>
      </x:c>
      <x:c r="D48" t="str">
        <x:v>Infusomat Space</x:v>
      </x:c>
      <x:c r="E48" t="str">
        <x:v>Infusomat Space</x:v>
      </x:c>
      <x:c r="F48" t="str">
        <x:v>BBRAUN_INFUSOMAT</x:v>
      </x:c>
      <x:c r="G48" t="str">
        <x:v>Warehouse</x:v>
      </x:c>
      <x:c r="H48" t="str">
        <x:v>รอสอบเทียบ</x:v>
      </x:c>
      <x:c r="I48" t="str">
        <x:v>รอสอบเทียบ</x:v>
      </x:c>
      <x:c r="J48" t="str">
        <x:v>ไม่มีสัญญา</x:v>
      </x:c>
      <x:c r="K48" t="str">
        <x:v>รอสอบเทียบก่อนพร้อมส่ง</x:v>
      </x:c>
      <x:c r="L48" t="str">
        <x:v>ไม่ได้เช่ายืม = รอสอบเทียบ</x:v>
      </x:c>
      <x:c r="M48" t="str">
        <x:f>IF(OR(H48="ใช้งานไม่ได้",H48="BROKEN",H48="Broken"),"ใช้งานไม่ได้",IF(OR(H48="ไม่พบในรายการ",H48="MISSING",H48="Missing"),"ไม่พบในรายการ",IF(OR(J48="เช่ายืม",J48="IN_USE",J48="IN-USE",H48="เช่ายืม"),"เช่ายืม",IF(H48="พร้อมส่ง","พร้อมส่ง","รอสอบเทียบ"))))</x:f>
        <x:v>รอสอบเทียบ</x:v>
      </x:c>
    </x:row>
    <x:row r="49">
      <x:c r="A49" t="str">
        <x:v>124750</x:v>
      </x:c>
      <x:c r="B49" t="str">
        <x:v>124750</x:v>
      </x:c>
      <x:c r="C49" t="str">
        <x:v>B.Braun</x:v>
      </x:c>
      <x:c r="D49" t="str">
        <x:v>Infusomat Space</x:v>
      </x:c>
      <x:c r="E49" t="str">
        <x:v>Infusomat Space</x:v>
      </x:c>
      <x:c r="F49" t="str">
        <x:v>BBRAUN_INFUSOMAT</x:v>
      </x:c>
      <x:c r="G49" t="str">
        <x:v>Warehouse</x:v>
      </x:c>
      <x:c r="H49" t="str">
        <x:v>รอสอบเทียบ</x:v>
      </x:c>
      <x:c r="I49" t="str">
        <x:v>รอสอบเทียบ</x:v>
      </x:c>
      <x:c r="J49" t="str">
        <x:v>ไม่มีสัญญา</x:v>
      </x:c>
      <x:c r="K49" t="str">
        <x:v>รอสอบเทียบก่อนพร้อมส่ง</x:v>
      </x:c>
      <x:c r="L49" t="str">
        <x:v>ไม่ได้เช่ายืม = รอสอบเทียบ</x:v>
      </x:c>
      <x:c r="M49" t="str">
        <x:f>IF(OR(H49="ใช้งานไม่ได้",H49="BROKEN",H49="Broken"),"ใช้งานไม่ได้",IF(OR(H49="ไม่พบในรายการ",H49="MISSING",H49="Missing"),"ไม่พบในรายการ",IF(OR(J49="เช่ายืม",J49="IN_USE",J49="IN-USE",H49="เช่ายืม"),"เช่ายืม",IF(H49="พร้อมส่ง","พร้อมส่ง","รอสอบเทียบ"))))</x:f>
        <x:v>รอสอบเทียบ</x:v>
      </x:c>
    </x:row>
    <x:row r="50">
      <x:c r="A50" t="str">
        <x:v>124759</x:v>
      </x:c>
      <x:c r="B50" t="str">
        <x:v>124759</x:v>
      </x:c>
      <x:c r="C50" t="str">
        <x:v>B.Braun</x:v>
      </x:c>
      <x:c r="D50" t="str">
        <x:v>Infusomat Space</x:v>
      </x:c>
      <x:c r="E50" t="str">
        <x:v>Infusomat Space</x:v>
      </x:c>
      <x:c r="F50" t="str">
        <x:v>BBRAUN_INFUSOMAT</x:v>
      </x:c>
      <x:c r="G50" t="str">
        <x:v>ABSOLUTE HEALTH CLINIC</x:v>
      </x:c>
      <x:c r="H50" t="str">
        <x:v>เช่ายืม</x:v>
      </x:c>
      <x:c r="I50" t="str">
        <x:v>พร้อมส่ง</x:v>
      </x:c>
      <x:c r="J50" t="str">
        <x:v>เช่ายืม</x:v>
      </x:c>
      <x:c r="K50" t="str">
        <x:v>อยู่ระหว่างเช่ายืม / เกินกำหนดคืน 90 วัน</x:v>
      </x:c>
      <x:c r="L50"/>
      <x:c r="M50" t="str">
        <x:f>IF(OR(H50="ใช้งานไม่ได้",H50="BROKEN",H50="Broken"),"ใช้งานไม่ได้",IF(OR(H50="ไม่พบในรายการ",H50="MISSING",H50="Missing"),"ไม่พบในรายการ",IF(OR(J50="เช่ายืม",J50="IN_USE",J50="IN-USE",H50="เช่ายืม"),"เช่ายืม",IF(H50="พร้อมส่ง","พร้อมส่ง","รอสอบเทียบ"))))</x:f>
        <x:v>เช่ายืม</x:v>
      </x:c>
    </x:row>
    <x:row r="51">
      <x:c r="A51" t="str">
        <x:v>124765</x:v>
      </x:c>
      <x:c r="B51" t="str">
        <x:v>124765</x:v>
      </x:c>
      <x:c r="C51" t="str">
        <x:v>B.Braun</x:v>
      </x:c>
      <x:c r="D51" t="str">
        <x:v>Infusomat Space</x:v>
      </x:c>
      <x:c r="E51" t="str">
        <x:v>Infusomat Space</x:v>
      </x:c>
      <x:c r="F51" t="str">
        <x:v>BBRAUN_INFUSOMAT</x:v>
      </x:c>
      <x:c r="G51" t="str">
        <x:v>Warehouse</x:v>
      </x:c>
      <x:c r="H51" t="str">
        <x:v>รอสอบเทียบ</x:v>
      </x:c>
      <x:c r="I51" t="str">
        <x:v>รอสอบเทียบ</x:v>
      </x:c>
      <x:c r="J51" t="str">
        <x:v>ไม่มีสัญญา</x:v>
      </x:c>
      <x:c r="K51" t="str">
        <x:v>รอสอบเทียบก่อนพร้อมส่ง</x:v>
      </x:c>
      <x:c r="L51" t="str">
        <x:v>ไม่ได้เช่ายืม = รอสอบเทียบ</x:v>
      </x:c>
      <x:c r="M51" t="str">
        <x:f>IF(OR(H51="ใช้งานไม่ได้",H51="BROKEN",H51="Broken"),"ใช้งานไม่ได้",IF(OR(H51="ไม่พบในรายการ",H51="MISSING",H51="Missing"),"ไม่พบในรายการ",IF(OR(J51="เช่ายืม",J51="IN_USE",J51="IN-USE",H51="เช่ายืม"),"เช่ายืม",IF(H51="พร้อมส่ง","พร้อมส่ง","รอสอบเทียบ"))))</x:f>
        <x:v>รอสอบเทียบ</x:v>
      </x:c>
    </x:row>
    <x:row r="52">
      <x:c r="A52" t="str">
        <x:v>124768</x:v>
      </x:c>
      <x:c r="B52" t="str">
        <x:v>NHBB0133</x:v>
      </x:c>
      <x:c r="C52" t="str">
        <x:v>B.Braun</x:v>
      </x:c>
      <x:c r="D52" t="str">
        <x:v>Infusomat Space</x:v>
      </x:c>
      <x:c r="E52" t="str">
        <x:v>Infusomat Space</x:v>
      </x:c>
      <x:c r="F52" t="str">
        <x:v>BBRAUN_INFUSOMAT</x:v>
      </x:c>
      <x:c r="G52" t="str">
        <x:v>รพ.กรุงเทพสนามจันทร์ (BSN)</x:v>
      </x:c>
      <x:c r="H52" t="str">
        <x:v>เช่ายืม</x:v>
      </x:c>
      <x:c r="I52" t="str">
        <x:v>พร้อมส่ง</x:v>
      </x:c>
      <x:c r="J52" t="str">
        <x:v>เช่ายืม</x:v>
      </x:c>
      <x:c r="K52" t="str">
        <x:v>No action</x:v>
      </x:c>
      <x:c r="L52"/>
      <x:c r="M52" t="str">
        <x:f>IF(OR(H52="ใช้งานไม่ได้",H52="BROKEN",H52="Broken"),"ใช้งานไม่ได้",IF(OR(H52="ไม่พบในรายการ",H52="MISSING",H52="Missing"),"ไม่พบในรายการ",IF(OR(J52="เช่ายืม",J52="IN_USE",J52="IN-USE",H52="เช่ายืม"),"เช่ายืม",IF(H52="พร้อมส่ง","พร้อมส่ง","รอสอบเทียบ"))))</x:f>
        <x:v>เช่ายืม</x:v>
      </x:c>
    </x:row>
    <x:row r="53">
      <x:c r="A53" t="str">
        <x:v>124769</x:v>
      </x:c>
      <x:c r="B53" t="str">
        <x:v>124769</x:v>
      </x:c>
      <x:c r="C53" t="str">
        <x:v>B.Braun</x:v>
      </x:c>
      <x:c r="D53" t="str">
        <x:v>Infusomat Space</x:v>
      </x:c>
      <x:c r="E53" t="str">
        <x:v>Infusomat Space</x:v>
      </x:c>
      <x:c r="F53" t="str">
        <x:v>BBRAUN_INFUSOMAT</x:v>
      </x:c>
      <x:c r="G53" t="str">
        <x:v>Warehouse</x:v>
      </x:c>
      <x:c r="H53" t="str">
        <x:v>รอสอบเทียบ</x:v>
      </x:c>
      <x:c r="I53" t="str">
        <x:v>รอสอบเทียบ</x:v>
      </x:c>
      <x:c r="J53" t="str">
        <x:v>ไม่มีสัญญา</x:v>
      </x:c>
      <x:c r="K53" t="str">
        <x:v>รอสอบเทียบก่อนพร้อมส่ง</x:v>
      </x:c>
      <x:c r="L53" t="str">
        <x:v>ไม่ได้เช่ายืม = รอสอบเทียบ</x:v>
      </x:c>
      <x:c r="M53" t="str">
        <x:f>IF(OR(H53="ใช้งานไม่ได้",H53="BROKEN",H53="Broken"),"ใช้งานไม่ได้",IF(OR(H53="ไม่พบในรายการ",H53="MISSING",H53="Missing"),"ไม่พบในรายการ",IF(OR(J53="เช่ายืม",J53="IN_USE",J53="IN-USE",H53="เช่ายืม"),"เช่ายืม",IF(H53="พร้อมส่ง","พร้อมส่ง","รอสอบเทียบ"))))</x:f>
        <x:v>รอสอบเทียบ</x:v>
      </x:c>
    </x:row>
    <x:row r="54">
      <x:c r="A54" t="str">
        <x:v>124777</x:v>
      </x:c>
      <x:c r="B54" t="str">
        <x:v>124777</x:v>
      </x:c>
      <x:c r="C54" t="str">
        <x:v>B.Braun</x:v>
      </x:c>
      <x:c r="D54" t="str">
        <x:v>Infusomat Space</x:v>
      </x:c>
      <x:c r="E54" t="str">
        <x:v>Infusomat Space</x:v>
      </x:c>
      <x:c r="F54" t="str">
        <x:v>BBRAUN_INFUSOMAT</x:v>
      </x:c>
      <x:c r="G54" t="str">
        <x:v>Warehouse</x:v>
      </x:c>
      <x:c r="H54" t="str">
        <x:v>รอสอบเทียบ</x:v>
      </x:c>
      <x:c r="I54" t="str">
        <x:v>รอสอบเทียบ</x:v>
      </x:c>
      <x:c r="J54" t="str">
        <x:v>ไม่มีสัญญา</x:v>
      </x:c>
      <x:c r="K54" t="str">
        <x:v>รอสอบเทียบก่อนพร้อมส่ง</x:v>
      </x:c>
      <x:c r="L54" t="str">
        <x:v>ไม่ได้เช่ายืม = รอสอบเทียบ</x:v>
      </x:c>
      <x:c r="M54" t="str">
        <x:f>IF(OR(H54="ใช้งานไม่ได้",H54="BROKEN",H54="Broken"),"ใช้งานไม่ได้",IF(OR(H54="ไม่พบในรายการ",H54="MISSING",H54="Missing"),"ไม่พบในรายการ",IF(OR(J54="เช่ายืม",J54="IN_USE",J54="IN-USE",H54="เช่ายืม"),"เช่ายืม",IF(H54="พร้อมส่ง","พร้อมส่ง","รอสอบเทียบ"))))</x:f>
        <x:v>รอสอบเทียบ</x:v>
      </x:c>
    </x:row>
    <x:row r="55">
      <x:c r="A55" t="str">
        <x:v>124781</x:v>
      </x:c>
      <x:c r="B55" t="str">
        <x:v>124781</x:v>
      </x:c>
      <x:c r="C55" t="str">
        <x:v>B.Braun</x:v>
      </x:c>
      <x:c r="D55" t="str">
        <x:v>Infusomat Space</x:v>
      </x:c>
      <x:c r="E55" t="str">
        <x:v>Infusomat Space</x:v>
      </x:c>
      <x:c r="F55" t="str">
        <x:v>BBRAUN_INFUSOMAT</x:v>
      </x:c>
      <x:c r="G55" t="str">
        <x:v>BHP</x:v>
      </x:c>
      <x:c r="H55" t="str">
        <x:v>เช่ายืม</x:v>
      </x:c>
      <x:c r="I55" t="str">
        <x:v>พร้อมส่ง</x:v>
      </x:c>
      <x:c r="J55" t="str">
        <x:v>เช่ายืม</x:v>
      </x:c>
      <x:c r="K55" t="str">
        <x:v>อยู่ระหว่างเช่ายืม / เกินกำหนดคืน 60 วัน</x:v>
      </x:c>
      <x:c r="L55"/>
      <x:c r="M55" t="str">
        <x:f>IF(OR(H55="ใช้งานไม่ได้",H55="BROKEN",H55="Broken"),"ใช้งานไม่ได้",IF(OR(H55="ไม่พบในรายการ",H55="MISSING",H55="Missing"),"ไม่พบในรายการ",IF(OR(J55="เช่ายืม",J55="IN_USE",J55="IN-USE",H55="เช่ายืม"),"เช่ายืม",IF(H55="พร้อมส่ง","พร้อมส่ง","รอสอบเทียบ"))))</x:f>
        <x:v>เช่ายืม</x:v>
      </x:c>
    </x:row>
    <x:row r="56">
      <x:c r="A56" t="str">
        <x:v>124807</x:v>
      </x:c>
      <x:c r="B56" t="str">
        <x:v>124807</x:v>
      </x:c>
      <x:c r="C56" t="str">
        <x:v>B.Braun</x:v>
      </x:c>
      <x:c r="D56" t="str">
        <x:v>Infusomat Space</x:v>
      </x:c>
      <x:c r="E56" t="str">
        <x:v>Infusomat Space</x:v>
      </x:c>
      <x:c r="F56" t="str">
        <x:v>BBRAUN_INFUSOMAT</x:v>
      </x:c>
      <x:c r="G56" t="str">
        <x:v>Warehouse</x:v>
      </x:c>
      <x:c r="H56" t="str">
        <x:v>รอสอบเทียบ</x:v>
      </x:c>
      <x:c r="I56" t="str">
        <x:v>รอสอบเทียบ</x:v>
      </x:c>
      <x:c r="J56" t="str">
        <x:v>ไม่มีสัญญา</x:v>
      </x:c>
      <x:c r="K56" t="str">
        <x:v>รอสอบเทียบก่อนพร้อมส่ง</x:v>
      </x:c>
      <x:c r="L56" t="str">
        <x:v>ไม่ได้เช่ายืม = รอสอบเทียบ</x:v>
      </x:c>
      <x:c r="M56" t="str">
        <x:f>IF(OR(H56="ใช้งานไม่ได้",H56="BROKEN",H56="Broken"),"ใช้งานไม่ได้",IF(OR(H56="ไม่พบในรายการ",H56="MISSING",H56="Missing"),"ไม่พบในรายการ",IF(OR(J56="เช่ายืม",J56="IN_USE",J56="IN-USE",H56="เช่ายืม"),"เช่ายืม",IF(H56="พร้อมส่ง","พร้อมส่ง","รอสอบเทียบ"))))</x:f>
        <x:v>รอสอบเทียบ</x:v>
      </x:c>
    </x:row>
    <x:row r="57">
      <x:c r="A57" t="str">
        <x:v>124829</x:v>
      </x:c>
      <x:c r="B57" t="str">
        <x:v>124829</x:v>
      </x:c>
      <x:c r="C57" t="str">
        <x:v>B.Braun</x:v>
      </x:c>
      <x:c r="D57" t="str">
        <x:v>Infusomat Space</x:v>
      </x:c>
      <x:c r="E57" t="str">
        <x:v>Infusomat Space</x:v>
      </x:c>
      <x:c r="F57" t="str">
        <x:v>BBRAUN_INFUSOMAT</x:v>
      </x:c>
      <x:c r="G57" t="str">
        <x:v>Warehouse</x:v>
      </x:c>
      <x:c r="H57" t="str">
        <x:v>รอสอบเทียบ</x:v>
      </x:c>
      <x:c r="I57" t="str">
        <x:v>รอสอบเทียบ</x:v>
      </x:c>
      <x:c r="J57" t="str">
        <x:v>ไม่มีสัญญา</x:v>
      </x:c>
      <x:c r="K57" t="str">
        <x:v>รอสอบเทียบก่อนพร้อมส่ง</x:v>
      </x:c>
      <x:c r="L57" t="str">
        <x:v>ไม่ได้เช่ายืม = รอสอบเทียบ</x:v>
      </x:c>
      <x:c r="M57" t="str">
        <x:f>IF(OR(H57="ใช้งานไม่ได้",H57="BROKEN",H57="Broken"),"ใช้งานไม่ได้",IF(OR(H57="ไม่พบในรายการ",H57="MISSING",H57="Missing"),"ไม่พบในรายการ",IF(OR(J57="เช่ายืม",J57="IN_USE",J57="IN-USE",H57="เช่ายืม"),"เช่ายืม",IF(H57="พร้อมส่ง","พร้อมส่ง","รอสอบเทียบ"))))</x:f>
        <x:v>รอสอบเทียบ</x:v>
      </x:c>
    </x:row>
    <x:row r="58">
      <x:c r="A58" t="str">
        <x:v>124830</x:v>
      </x:c>
      <x:c r="B58" t="str">
        <x:v>124830</x:v>
      </x:c>
      <x:c r="C58" t="str">
        <x:v>B.Braun</x:v>
      </x:c>
      <x:c r="D58" t="str">
        <x:v>Infusomat Space</x:v>
      </x:c>
      <x:c r="E58" t="str">
        <x:v>Infusomat Space</x:v>
      </x:c>
      <x:c r="F58" t="str">
        <x:v>BBRAUN_INFUSOMAT</x:v>
      </x:c>
      <x:c r="G58" t="str">
        <x:v>Warehouse</x:v>
      </x:c>
      <x:c r="H58" t="str">
        <x:v>รอสอบเทียบ</x:v>
      </x:c>
      <x:c r="I58" t="str">
        <x:v>รอสอบเทียบ</x:v>
      </x:c>
      <x:c r="J58" t="str">
        <x:v>ไม่มีสัญญา</x:v>
      </x:c>
      <x:c r="K58" t="str">
        <x:v>รอสอบเทียบก่อนพร้อมส่ง</x:v>
      </x:c>
      <x:c r="L58" t="str">
        <x:v>ไม่ได้เช่ายืม = รอสอบเทียบ</x:v>
      </x:c>
      <x:c r="M58" t="str">
        <x:f>IF(OR(H58="ใช้งานไม่ได้",H58="BROKEN",H58="Broken"),"ใช้งานไม่ได้",IF(OR(H58="ไม่พบในรายการ",H58="MISSING",H58="Missing"),"ไม่พบในรายการ",IF(OR(J58="เช่ายืม",J58="IN_USE",J58="IN-USE",H58="เช่ายืม"),"เช่ายืม",IF(H58="พร้อมส่ง","พร้อมส่ง","รอสอบเทียบ"))))</x:f>
        <x:v>รอสอบเทียบ</x:v>
      </x:c>
    </x:row>
    <x:row r="59">
      <x:c r="A59" t="str">
        <x:v>124836</x:v>
      </x:c>
      <x:c r="B59" t="str">
        <x:v>124836</x:v>
      </x:c>
      <x:c r="C59" t="str">
        <x:v>B.Braun</x:v>
      </x:c>
      <x:c r="D59" t="str">
        <x:v>Infusomat Space</x:v>
      </x:c>
      <x:c r="E59" t="str">
        <x:v>Infusomat Space</x:v>
      </x:c>
      <x:c r="F59" t="str">
        <x:v>BBRAUN_INFUSOMAT</x:v>
      </x:c>
      <x:c r="G59" t="str">
        <x:v>Warehouse</x:v>
      </x:c>
      <x:c r="H59" t="str">
        <x:v>รอสอบเทียบ</x:v>
      </x:c>
      <x:c r="I59" t="str">
        <x:v>รอสอบเทียบ</x:v>
      </x:c>
      <x:c r="J59" t="str">
        <x:v>ไม่มีสัญญา</x:v>
      </x:c>
      <x:c r="K59" t="str">
        <x:v>รอสอบเทียบก่อนพร้อมส่ง</x:v>
      </x:c>
      <x:c r="L59" t="str">
        <x:v>ไม่ได้เช่ายืม = รอสอบเทียบ</x:v>
      </x:c>
      <x:c r="M59" t="str">
        <x:f>IF(OR(H59="ใช้งานไม่ได้",H59="BROKEN",H59="Broken"),"ใช้งานไม่ได้",IF(OR(H59="ไม่พบในรายการ",H59="MISSING",H59="Missing"),"ไม่พบในรายการ",IF(OR(J59="เช่ายืม",J59="IN_USE",J59="IN-USE",H59="เช่ายืม"),"เช่ายืม",IF(H59="พร้อมส่ง","พร้อมส่ง","รอสอบเทียบ"))))</x:f>
        <x:v>รอสอบเทียบ</x:v>
      </x:c>
    </x:row>
    <x:row r="60">
      <x:c r="A60" t="str">
        <x:v>124900</x:v>
      </x:c>
      <x:c r="B60" t="str">
        <x:v>124900</x:v>
      </x:c>
      <x:c r="C60" t="str">
        <x:v>B.Braun</x:v>
      </x:c>
      <x:c r="D60" t="str">
        <x:v>Infusomat Space</x:v>
      </x:c>
      <x:c r="E60" t="str">
        <x:v>Infusomat Space</x:v>
      </x:c>
      <x:c r="F60" t="str">
        <x:v>BBRAUN_INFUSOMAT</x:v>
      </x:c>
      <x:c r="G60" t="str">
        <x:v>Warehouse</x:v>
      </x:c>
      <x:c r="H60" t="str">
        <x:v>รอสอบเทียบ</x:v>
      </x:c>
      <x:c r="I60" t="str">
        <x:v>รอสอบเทียบ</x:v>
      </x:c>
      <x:c r="J60" t="str">
        <x:v>ไม่มีสัญญา</x:v>
      </x:c>
      <x:c r="K60" t="str">
        <x:v>รอสอบเทียบก่อนพร้อมส่ง</x:v>
      </x:c>
      <x:c r="L60" t="str">
        <x:v>ไม่ได้เช่ายืม = รอสอบเทียบ</x:v>
      </x:c>
      <x:c r="M60" t="str">
        <x:f>IF(OR(H60="ใช้งานไม่ได้",H60="BROKEN",H60="Broken"),"ใช้งานไม่ได้",IF(OR(H60="ไม่พบในรายการ",H60="MISSING",H60="Missing"),"ไม่พบในรายการ",IF(OR(J60="เช่ายืม",J60="IN_USE",J60="IN-USE",H60="เช่ายืม"),"เช่ายืม",IF(H60="พร้อมส่ง","พร้อมส่ง","รอสอบเทียบ"))))</x:f>
        <x:v>รอสอบเทียบ</x:v>
      </x:c>
    </x:row>
    <x:row r="61">
      <x:c r="A61" t="str">
        <x:v>124924</x:v>
      </x:c>
      <x:c r="B61" t="str">
        <x:v>124924</x:v>
      </x:c>
      <x:c r="C61" t="str">
        <x:v>B.Braun</x:v>
      </x:c>
      <x:c r="D61" t="str">
        <x:v>Infusomat Space</x:v>
      </x:c>
      <x:c r="E61" t="str">
        <x:v>Infusomat Space</x:v>
      </x:c>
      <x:c r="F61" t="str">
        <x:v>BBRAUN_INFUSOMAT</x:v>
      </x:c>
      <x:c r="G61" t="str">
        <x:v>Warehouse</x:v>
      </x:c>
      <x:c r="H61" t="str">
        <x:v>รอสอบเทียบ</x:v>
      </x:c>
      <x:c r="I61" t="str">
        <x:v>รอสอบเทียบ</x:v>
      </x:c>
      <x:c r="J61" t="str">
        <x:v>ไม่มีสัญญา</x:v>
      </x:c>
      <x:c r="K61" t="str">
        <x:v>รอสอบเทียบก่อนพร้อมส่ง</x:v>
      </x:c>
      <x:c r="L61" t="str">
        <x:v>ไม่ได้เช่ายืม = รอสอบเทียบ</x:v>
      </x:c>
      <x:c r="M61" t="str">
        <x:f>IF(OR(H61="ใช้งานไม่ได้",H61="BROKEN",H61="Broken"),"ใช้งานไม่ได้",IF(OR(H61="ไม่พบในรายการ",H61="MISSING",H61="Missing"),"ไม่พบในรายการ",IF(OR(J61="เช่ายืม",J61="IN_USE",J61="IN-USE",H61="เช่ายืม"),"เช่ายืม",IF(H61="พร้อมส่ง","พร้อมส่ง","รอสอบเทียบ"))))</x:f>
        <x:v>รอสอบเทียบ</x:v>
      </x:c>
    </x:row>
    <x:row r="62">
      <x:c r="A62" t="str">
        <x:v>SN_124954</x:v>
      </x:c>
      <x:c r="B62" t="str">
        <x:v>124954</x:v>
      </x:c>
      <x:c r="C62" t="str">
        <x:v>B.Braun</x:v>
      </x:c>
      <x:c r="D62" t="str">
        <x:v>Infusomat Space</x:v>
      </x:c>
      <x:c r="E62" t="str">
        <x:v>Infusomat Space</x:v>
      </x:c>
      <x:c r="F62" t="str">
        <x:v>BBRAUN_INFUSOMAT</x:v>
      </x:c>
      <x:c r="G62" t="str">
        <x:v>Warehouse</x:v>
      </x:c>
      <x:c r="H62" t="str">
        <x:v>รอสอบเทียบ</x:v>
      </x:c>
      <x:c r="I62" t="str">
        <x:v>รอสอบเทียบ</x:v>
      </x:c>
      <x:c r="J62" t="str">
        <x:v>ไม่มีสัญญา</x:v>
      </x:c>
      <x:c r="K62" t="str">
        <x:v>รอสอบเทียบก่อนพร้อมส่ง</x:v>
      </x:c>
      <x:c r="L62" t="str">
        <x:v>ไม่ได้เช่ายืม = รอสอบเทียบ</x:v>
      </x:c>
      <x:c r="M62" t="str">
        <x:f>IF(OR(H62="ใช้งานไม่ได้",H62="BROKEN",H62="Broken"),"ใช้งานไม่ได้",IF(OR(H62="ไม่พบในรายการ",H62="MISSING",H62="Missing"),"ไม่พบในรายการ",IF(OR(J62="เช่ายืม",J62="IN_USE",J62="IN-USE",H62="เช่ายืม"),"เช่ายืม",IF(H62="พร้อมส่ง","พร้อมส่ง","รอสอบเทียบ"))))</x:f>
        <x:v>รอสอบเทียบ</x:v>
      </x:c>
    </x:row>
    <x:row r="63">
      <x:c r="A63" t="str">
        <x:v>124970</x:v>
      </x:c>
      <x:c r="B63" t="str">
        <x:v>124970</x:v>
      </x:c>
      <x:c r="C63" t="str">
        <x:v>B.Braun</x:v>
      </x:c>
      <x:c r="D63" t="str">
        <x:v>Infusomat Space</x:v>
      </x:c>
      <x:c r="E63" t="str">
        <x:v>Infusomat Space</x:v>
      </x:c>
      <x:c r="F63" t="str">
        <x:v>BBRAUN_INFUSOMAT</x:v>
      </x:c>
      <x:c r="G63" t="str">
        <x:v>Warehouse</x:v>
      </x:c>
      <x:c r="H63" t="str">
        <x:v>รอสอบเทียบ</x:v>
      </x:c>
      <x:c r="I63" t="str">
        <x:v>รอสอบเทียบ</x:v>
      </x:c>
      <x:c r="J63" t="str">
        <x:v>ไม่มีสัญญา</x:v>
      </x:c>
      <x:c r="K63" t="str">
        <x:v>รอสอบเทียบก่อนพร้อมส่ง</x:v>
      </x:c>
      <x:c r="L63" t="str">
        <x:v>ไม่ได้เช่ายืม = รอสอบเทียบ</x:v>
      </x:c>
      <x:c r="M63" t="str">
        <x:f>IF(OR(H63="ใช้งานไม่ได้",H63="BROKEN",H63="Broken"),"ใช้งานไม่ได้",IF(OR(H63="ไม่พบในรายการ",H63="MISSING",H63="Missing"),"ไม่พบในรายการ",IF(OR(J63="เช่ายืม",J63="IN_USE",J63="IN-USE",H63="เช่ายืม"),"เช่ายืม",IF(H63="พร้อมส่ง","พร้อมส่ง","รอสอบเทียบ"))))</x:f>
        <x:v>รอสอบเทียบ</x:v>
      </x:c>
    </x:row>
    <x:row r="64">
      <x:c r="A64" t="str">
        <x:v>SN_124975</x:v>
      </x:c>
      <x:c r="B64" t="str">
        <x:v>124975</x:v>
      </x:c>
      <x:c r="C64" t="str">
        <x:v>B.Braun</x:v>
      </x:c>
      <x:c r="D64" t="str">
        <x:v>Infusomat Space</x:v>
      </x:c>
      <x:c r="E64" t="str">
        <x:v>Infusomat Space</x:v>
      </x:c>
      <x:c r="F64" t="str">
        <x:v>BBRAUN_INFUSOMAT</x:v>
      </x:c>
      <x:c r="G64" t="str">
        <x:v>Warehouse</x:v>
      </x:c>
      <x:c r="H64" t="str">
        <x:v>รอสอบเทียบ</x:v>
      </x:c>
      <x:c r="I64" t="str">
        <x:v>รอสอบเทียบ</x:v>
      </x:c>
      <x:c r="J64" t="str">
        <x:v>ไม่มีสัญญา</x:v>
      </x:c>
      <x:c r="K64" t="str">
        <x:v>รอสอบเทียบก่อนพร้อมส่ง</x:v>
      </x:c>
      <x:c r="L64" t="str">
        <x:v>ไม่ได้เช่ายืม = รอสอบเทียบ</x:v>
      </x:c>
      <x:c r="M64" t="str">
        <x:f>IF(OR(H64="ใช้งานไม่ได้",H64="BROKEN",H64="Broken"),"ใช้งานไม่ได้",IF(OR(H64="ไม่พบในรายการ",H64="MISSING",H64="Missing"),"ไม่พบในรายการ",IF(OR(J64="เช่ายืม",J64="IN_USE",J64="IN-USE",H64="เช่ายืม"),"เช่ายืม",IF(H64="พร้อมส่ง","พร้อมส่ง","รอสอบเทียบ"))))</x:f>
        <x:v>รอสอบเทียบ</x:v>
      </x:c>
    </x:row>
    <x:row r="65">
      <x:c r="A65" t="str">
        <x:v>125009</x:v>
      </x:c>
      <x:c r="B65" t="str">
        <x:v>125009</x:v>
      </x:c>
      <x:c r="C65" t="str">
        <x:v>B.Braun</x:v>
      </x:c>
      <x:c r="D65" t="str">
        <x:v>Infusomat Space</x:v>
      </x:c>
      <x:c r="E65" t="str">
        <x:v>Infusomat Space</x:v>
      </x:c>
      <x:c r="F65" t="str">
        <x:v>BBRAUN_INFUSOMAT</x:v>
      </x:c>
      <x:c r="G65" t="str">
        <x:v>Warehouse</x:v>
      </x:c>
      <x:c r="H65" t="str">
        <x:v>รอสอบเทียบ</x:v>
      </x:c>
      <x:c r="I65" t="str">
        <x:v>รอสอบเทียบ</x:v>
      </x:c>
      <x:c r="J65" t="str">
        <x:v>ไม่มีสัญญา</x:v>
      </x:c>
      <x:c r="K65" t="str">
        <x:v>รอสอบเทียบก่อนพร้อมส่ง</x:v>
      </x:c>
      <x:c r="L65" t="str">
        <x:v>ไม่ได้เช่ายืม = รอสอบเทียบ</x:v>
      </x:c>
      <x:c r="M65" t="str">
        <x:f>IF(OR(H65="ใช้งานไม่ได้",H65="BROKEN",H65="Broken"),"ใช้งานไม่ได้",IF(OR(H65="ไม่พบในรายการ",H65="MISSING",H65="Missing"),"ไม่พบในรายการ",IF(OR(J65="เช่ายืม",J65="IN_USE",J65="IN-USE",H65="เช่ายืม"),"เช่ายืม",IF(H65="พร้อมส่ง","พร้อมส่ง","รอสอบเทียบ"))))</x:f>
        <x:v>รอสอบเทียบ</x:v>
      </x:c>
    </x:row>
    <x:row r="66">
      <x:c r="A66" t="str">
        <x:v>125025</x:v>
      </x:c>
      <x:c r="B66" t="str">
        <x:v>125025</x:v>
      </x:c>
      <x:c r="C66" t="str">
        <x:v>B.Braun</x:v>
      </x:c>
      <x:c r="D66" t="str">
        <x:v>Infusomat Space</x:v>
      </x:c>
      <x:c r="E66" t="str">
        <x:v>Infusomat Space</x:v>
      </x:c>
      <x:c r="F66" t="str">
        <x:v>BBRAUN_INFUSOMAT</x:v>
      </x:c>
      <x:c r="G66" t="str">
        <x:v>Warehouse</x:v>
      </x:c>
      <x:c r="H66" t="str">
        <x:v>รอสอบเทียบ</x:v>
      </x:c>
      <x:c r="I66" t="str">
        <x:v>รอสอบเทียบ</x:v>
      </x:c>
      <x:c r="J66" t="str">
        <x:v>ไม่มีสัญญา</x:v>
      </x:c>
      <x:c r="K66" t="str">
        <x:v>รอสอบเทียบก่อนพร้อมส่ง</x:v>
      </x:c>
      <x:c r="L66" t="str">
        <x:v>ไม่ได้เช่ายืม = รอสอบเทียบ</x:v>
      </x:c>
      <x:c r="M66" t="str">
        <x:f>IF(OR(H66="ใช้งานไม่ได้",H66="BROKEN",H66="Broken"),"ใช้งานไม่ได้",IF(OR(H66="ไม่พบในรายการ",H66="MISSING",H66="Missing"),"ไม่พบในรายการ",IF(OR(J66="เช่ายืม",J66="IN_USE",J66="IN-USE",H66="เช่ายืม"),"เช่ายืม",IF(H66="พร้อมส่ง","พร้อมส่ง","รอสอบเทียบ"))))</x:f>
        <x:v>รอสอบเทียบ</x:v>
      </x:c>
    </x:row>
    <x:row r="67">
      <x:c r="A67" t="str">
        <x:v>125069</x:v>
      </x:c>
      <x:c r="B67" t="str">
        <x:v>125069</x:v>
      </x:c>
      <x:c r="C67" t="str">
        <x:v>B.Braun</x:v>
      </x:c>
      <x:c r="D67" t="str">
        <x:v>Infusomat Space</x:v>
      </x:c>
      <x:c r="E67" t="str">
        <x:v>Infusomat Space</x:v>
      </x:c>
      <x:c r="F67" t="str">
        <x:v>BBRAUN_INFUSOMAT</x:v>
      </x:c>
      <x:c r="G67" t="str">
        <x:v>Warehouse</x:v>
      </x:c>
      <x:c r="H67" t="str">
        <x:v>รอสอบเทียบ</x:v>
      </x:c>
      <x:c r="I67" t="str">
        <x:v>รอสอบเทียบ</x:v>
      </x:c>
      <x:c r="J67" t="str">
        <x:v>ไม่มีสัญญา</x:v>
      </x:c>
      <x:c r="K67" t="str">
        <x:v>รอสอบเทียบก่อนพร้อมส่ง</x:v>
      </x:c>
      <x:c r="L67" t="str">
        <x:v>ไม่ได้เช่ายืม = รอสอบเทียบ</x:v>
      </x:c>
      <x:c r="M67" t="str">
        <x:f>IF(OR(H67="ใช้งานไม่ได้",H67="BROKEN",H67="Broken"),"ใช้งานไม่ได้",IF(OR(H67="ไม่พบในรายการ",H67="MISSING",H67="Missing"),"ไม่พบในรายการ",IF(OR(J67="เช่ายืม",J67="IN_USE",J67="IN-USE",H67="เช่ายืม"),"เช่ายืม",IF(H67="พร้อมส่ง","พร้อมส่ง","รอสอบเทียบ"))))</x:f>
        <x:v>รอสอบเทียบ</x:v>
      </x:c>
    </x:row>
    <x:row r="68">
      <x:c r="A68" t="str">
        <x:v>125087</x:v>
      </x:c>
      <x:c r="B68" t="str">
        <x:v>125087</x:v>
      </x:c>
      <x:c r="C68" t="str">
        <x:v>B.Braun</x:v>
      </x:c>
      <x:c r="D68" t="str">
        <x:v>Infusomat Space</x:v>
      </x:c>
      <x:c r="E68" t="str">
        <x:v>Infusomat Space</x:v>
      </x:c>
      <x:c r="F68" t="str">
        <x:v>BBRAUN_INFUSOMAT</x:v>
      </x:c>
      <x:c r="G68" t="str">
        <x:v>Warehouse</x:v>
      </x:c>
      <x:c r="H68" t="str">
        <x:v>รอสอบเทียบ</x:v>
      </x:c>
      <x:c r="I68" t="str">
        <x:v>รอสอบเทียบ</x:v>
      </x:c>
      <x:c r="J68" t="str">
        <x:v>ไม่มีสัญญา</x:v>
      </x:c>
      <x:c r="K68" t="str">
        <x:v>รอสอบเทียบก่อนพร้อมส่ง</x:v>
      </x:c>
      <x:c r="L68" t="str">
        <x:v>ไม่ได้เช่ายืม = รอสอบเทียบ</x:v>
      </x:c>
      <x:c r="M68" t="str">
        <x:f>IF(OR(H68="ใช้งานไม่ได้",H68="BROKEN",H68="Broken"),"ใช้งานไม่ได้",IF(OR(H68="ไม่พบในรายการ",H68="MISSING",H68="Missing"),"ไม่พบในรายการ",IF(OR(J68="เช่ายืม",J68="IN_USE",J68="IN-USE",H68="เช่ายืม"),"เช่ายืม",IF(H68="พร้อมส่ง","พร้อมส่ง","รอสอบเทียบ"))))</x:f>
        <x:v>รอสอบเทียบ</x:v>
      </x:c>
    </x:row>
    <x:row r="69">
      <x:c r="A69" t="str">
        <x:v>125102</x:v>
      </x:c>
      <x:c r="B69" t="str">
        <x:v>125102</x:v>
      </x:c>
      <x:c r="C69" t="str">
        <x:v>B.Braun</x:v>
      </x:c>
      <x:c r="D69" t="str">
        <x:v>Infusomat Space</x:v>
      </x:c>
      <x:c r="E69" t="str">
        <x:v>Infusomat Space</x:v>
      </x:c>
      <x:c r="F69" t="str">
        <x:v>BBRAUN_INFUSOMAT</x:v>
      </x:c>
      <x:c r="G69" t="str">
        <x:v>Warehouse</x:v>
      </x:c>
      <x:c r="H69" t="str">
        <x:v>รอสอบเทียบ</x:v>
      </x:c>
      <x:c r="I69" t="str">
        <x:v>รอสอบเทียบ</x:v>
      </x:c>
      <x:c r="J69" t="str">
        <x:v>ไม่มีสัญญา</x:v>
      </x:c>
      <x:c r="K69" t="str">
        <x:v>รอสอบเทียบก่อนพร้อมส่ง</x:v>
      </x:c>
      <x:c r="L69" t="str">
        <x:v>ไม่ได้เช่ายืม = รอสอบเทียบ</x:v>
      </x:c>
      <x:c r="M69" t="str">
        <x:f>IF(OR(H69="ใช้งานไม่ได้",H69="BROKEN",H69="Broken"),"ใช้งานไม่ได้",IF(OR(H69="ไม่พบในรายการ",H69="MISSING",H69="Missing"),"ไม่พบในรายการ",IF(OR(J69="เช่ายืม",J69="IN_USE",J69="IN-USE",H69="เช่ายืม"),"เช่ายืม",IF(H69="พร้อมส่ง","พร้อมส่ง","รอสอบเทียบ"))))</x:f>
        <x:v>รอสอบเทียบ</x:v>
      </x:c>
    </x:row>
    <x:row r="70">
      <x:c r="A70" t="str">
        <x:v>125137</x:v>
      </x:c>
      <x:c r="B70" t="str">
        <x:v>125137</x:v>
      </x:c>
      <x:c r="C70" t="str">
        <x:v>B.Braun</x:v>
      </x:c>
      <x:c r="D70" t="str">
        <x:v>Infusomat Space</x:v>
      </x:c>
      <x:c r="E70" t="str">
        <x:v>Infusomat Space</x:v>
      </x:c>
      <x:c r="F70" t="str">
        <x:v>BBRAUN_INFUSOMAT</x:v>
      </x:c>
      <x:c r="G70" t="str">
        <x:v>Warehouse</x:v>
      </x:c>
      <x:c r="H70" t="str">
        <x:v>รอสอบเทียบ</x:v>
      </x:c>
      <x:c r="I70" t="str">
        <x:v>รอสอบเทียบ</x:v>
      </x:c>
      <x:c r="J70" t="str">
        <x:v>ไม่มีสัญญา</x:v>
      </x:c>
      <x:c r="K70" t="str">
        <x:v>รอสอบเทียบก่อนพร้อมส่ง</x:v>
      </x:c>
      <x:c r="L70" t="str">
        <x:v>ไม่ได้เช่ายืม = รอสอบเทียบ</x:v>
      </x:c>
      <x:c r="M70" t="str">
        <x:f>IF(OR(H70="ใช้งานไม่ได้",H70="BROKEN",H70="Broken"),"ใช้งานไม่ได้",IF(OR(H70="ไม่พบในรายการ",H70="MISSING",H70="Missing"),"ไม่พบในรายการ",IF(OR(J70="เช่ายืม",J70="IN_USE",J70="IN-USE",H70="เช่ายืม"),"เช่ายืม",IF(H70="พร้อมส่ง","พร้อมส่ง","รอสอบเทียบ"))))</x:f>
        <x:v>รอสอบเทียบ</x:v>
      </x:c>
    </x:row>
    <x:row r="71">
      <x:c r="A71" t="str">
        <x:v>SN_125140</x:v>
      </x:c>
      <x:c r="B71" t="str">
        <x:v>125140</x:v>
      </x:c>
      <x:c r="C71" t="str">
        <x:v>B.Braun</x:v>
      </x:c>
      <x:c r="D71" t="str">
        <x:v>Infusomat Space</x:v>
      </x:c>
      <x:c r="E71" t="str">
        <x:v>Infusomat Space</x:v>
      </x:c>
      <x:c r="F71" t="str">
        <x:v>BBRAUN_INFUSOMAT</x:v>
      </x:c>
      <x:c r="G71" t="str">
        <x:v>Warehouse</x:v>
      </x:c>
      <x:c r="H71" t="str">
        <x:v>รอสอบเทียบ</x:v>
      </x:c>
      <x:c r="I71" t="str">
        <x:v>รอสอบเทียบ</x:v>
      </x:c>
      <x:c r="J71" t="str">
        <x:v>ไม่มีสัญญา</x:v>
      </x:c>
      <x:c r="K71" t="str">
        <x:v>รอสอบเทียบก่อนพร้อมส่ง</x:v>
      </x:c>
      <x:c r="L71" t="str">
        <x:v>ไม่ได้เช่ายืม = รอสอบเทียบ</x:v>
      </x:c>
      <x:c r="M71" t="str">
        <x:f>IF(OR(H71="ใช้งานไม่ได้",H71="BROKEN",H71="Broken"),"ใช้งานไม่ได้",IF(OR(H71="ไม่พบในรายการ",H71="MISSING",H71="Missing"),"ไม่พบในรายการ",IF(OR(J71="เช่ายืม",J71="IN_USE",J71="IN-USE",H71="เช่ายืม"),"เช่ายืม",IF(H71="พร้อมส่ง","พร้อมส่ง","รอสอบเทียบ"))))</x:f>
        <x:v>รอสอบเทียบ</x:v>
      </x:c>
    </x:row>
    <x:row r="72">
      <x:c r="A72" t="str">
        <x:v>125152</x:v>
      </x:c>
      <x:c r="B72" t="str">
        <x:v>NHBB0253</x:v>
      </x:c>
      <x:c r="C72" t="str">
        <x:v>B.Braun</x:v>
      </x:c>
      <x:c r="D72" t="str">
        <x:v>Infusomat Space</x:v>
      </x:c>
      <x:c r="E72" t="str">
        <x:v>Infusomat Space</x:v>
      </x:c>
      <x:c r="F72" t="str">
        <x:v>BBRAUN_INFUSOMAT</x:v>
      </x:c>
      <x:c r="G72" t="str">
        <x:v>รพ.เชียงรายประชานุเคราะห์</x:v>
      </x:c>
      <x:c r="H72" t="str">
        <x:v>เช่ายืม</x:v>
      </x:c>
      <x:c r="I72" t="str">
        <x:v>พร้อมส่ง</x:v>
      </x:c>
      <x:c r="J72" t="str">
        <x:v>เช่ายืม</x:v>
      </x:c>
      <x:c r="K72" t="str">
        <x:v>No action</x:v>
      </x:c>
      <x:c r="L72"/>
      <x:c r="M72" t="str">
        <x:f>IF(OR(H72="ใช้งานไม่ได้",H72="BROKEN",H72="Broken"),"ใช้งานไม่ได้",IF(OR(H72="ไม่พบในรายการ",H72="MISSING",H72="Missing"),"ไม่พบในรายการ",IF(OR(J72="เช่ายืม",J72="IN_USE",J72="IN-USE",H72="เช่ายืม"),"เช่ายืม",IF(H72="พร้อมส่ง","พร้อมส่ง","รอสอบเทียบ"))))</x:f>
        <x:v>เช่ายืม</x:v>
      </x:c>
    </x:row>
    <x:row r="73">
      <x:c r="A73" t="str">
        <x:v>125223</x:v>
      </x:c>
      <x:c r="B73" t="str">
        <x:v>125223</x:v>
      </x:c>
      <x:c r="C73" t="str">
        <x:v>B.Braun</x:v>
      </x:c>
      <x:c r="D73" t="str">
        <x:v>Infusomat Space</x:v>
      </x:c>
      <x:c r="E73" t="str">
        <x:v>Infusomat Space</x:v>
      </x:c>
      <x:c r="F73" t="str">
        <x:v>BBRAUN_INFUSOMAT</x:v>
      </x:c>
      <x:c r="G73" t="str">
        <x:v>Warehouse</x:v>
      </x:c>
      <x:c r="H73" t="str">
        <x:v>รอสอบเทียบ</x:v>
      </x:c>
      <x:c r="I73" t="str">
        <x:v>รอสอบเทียบ</x:v>
      </x:c>
      <x:c r="J73" t="str">
        <x:v>ไม่มีสัญญา</x:v>
      </x:c>
      <x:c r="K73" t="str">
        <x:v>รอสอบเทียบก่อนพร้อมส่ง</x:v>
      </x:c>
      <x:c r="L73" t="str">
        <x:v>ไม่ได้เช่ายืม = รอสอบเทียบ</x:v>
      </x:c>
      <x:c r="M73" t="str">
        <x:f>IF(OR(H73="ใช้งานไม่ได้",H73="BROKEN",H73="Broken"),"ใช้งานไม่ได้",IF(OR(H73="ไม่พบในรายการ",H73="MISSING",H73="Missing"),"ไม่พบในรายการ",IF(OR(J73="เช่ายืม",J73="IN_USE",J73="IN-USE",H73="เช่ายืม"),"เช่ายืม",IF(H73="พร้อมส่ง","พร้อมส่ง","รอสอบเทียบ"))))</x:f>
        <x:v>รอสอบเทียบ</x:v>
      </x:c>
    </x:row>
    <x:row r="74">
      <x:c r="A74" t="str">
        <x:v>125269</x:v>
      </x:c>
      <x:c r="B74" t="str">
        <x:v>125269</x:v>
      </x:c>
      <x:c r="C74" t="str">
        <x:v>B.Braun</x:v>
      </x:c>
      <x:c r="D74" t="str">
        <x:v>Infusomat Space</x:v>
      </x:c>
      <x:c r="E74" t="str">
        <x:v>Infusomat Space</x:v>
      </x:c>
      <x:c r="F74" t="str">
        <x:v>BBRAUN_INFUSOMAT</x:v>
      </x:c>
      <x:c r="G74" t="str">
        <x:v>Warehouse</x:v>
      </x:c>
      <x:c r="H74" t="str">
        <x:v>รอสอบเทียบ</x:v>
      </x:c>
      <x:c r="I74" t="str">
        <x:v>รอสอบเทียบ</x:v>
      </x:c>
      <x:c r="J74" t="str">
        <x:v>ไม่มีสัญญา</x:v>
      </x:c>
      <x:c r="K74" t="str">
        <x:v>รอสอบเทียบก่อนพร้อมส่ง</x:v>
      </x:c>
      <x:c r="L74" t="str">
        <x:v>ไม่ได้เช่ายืม = รอสอบเทียบ</x:v>
      </x:c>
      <x:c r="M74" t="str">
        <x:f>IF(OR(H74="ใช้งานไม่ได้",H74="BROKEN",H74="Broken"),"ใช้งานไม่ได้",IF(OR(H74="ไม่พบในรายการ",H74="MISSING",H74="Missing"),"ไม่พบในรายการ",IF(OR(J74="เช่ายืม",J74="IN_USE",J74="IN-USE",H74="เช่ายืม"),"เช่ายืม",IF(H74="พร้อมส่ง","พร้อมส่ง","รอสอบเทียบ"))))</x:f>
        <x:v>รอสอบเทียบ</x:v>
      </x:c>
    </x:row>
    <x:row r="75">
      <x:c r="A75" t="str">
        <x:v>125273</x:v>
      </x:c>
      <x:c r="B75" t="str">
        <x:v>125273</x:v>
      </x:c>
      <x:c r="C75" t="str">
        <x:v>B.Braun</x:v>
      </x:c>
      <x:c r="D75" t="str">
        <x:v>Infusomat Space</x:v>
      </x:c>
      <x:c r="E75" t="str">
        <x:v>Infusomat Space</x:v>
      </x:c>
      <x:c r="F75" t="str">
        <x:v>BBRAUN_INFUSOMAT</x:v>
      </x:c>
      <x:c r="G75" t="str">
        <x:v>Warehouse</x:v>
      </x:c>
      <x:c r="H75" t="str">
        <x:v>รอสอบเทียบ</x:v>
      </x:c>
      <x:c r="I75" t="str">
        <x:v>รอสอบเทียบ</x:v>
      </x:c>
      <x:c r="J75" t="str">
        <x:v>ไม่มีสัญญา</x:v>
      </x:c>
      <x:c r="K75" t="str">
        <x:v>รอสอบเทียบก่อนพร้อมส่ง</x:v>
      </x:c>
      <x:c r="L75" t="str">
        <x:v>ไม่ได้เช่ายืม = รอสอบเทียบ</x:v>
      </x:c>
      <x:c r="M75" t="str">
        <x:f>IF(OR(H75="ใช้งานไม่ได้",H75="BROKEN",H75="Broken"),"ใช้งานไม่ได้",IF(OR(H75="ไม่พบในรายการ",H75="MISSING",H75="Missing"),"ไม่พบในรายการ",IF(OR(J75="เช่ายืม",J75="IN_USE",J75="IN-USE",H75="เช่ายืม"),"เช่ายืม",IF(H75="พร้อมส่ง","พร้อมส่ง","รอสอบเทียบ"))))</x:f>
        <x:v>รอสอบเทียบ</x:v>
      </x:c>
    </x:row>
    <x:row r="76">
      <x:c r="A76" t="str">
        <x:v>125328</x:v>
      </x:c>
      <x:c r="B76" t="str">
        <x:v>125328</x:v>
      </x:c>
      <x:c r="C76" t="str">
        <x:v>B.Braun</x:v>
      </x:c>
      <x:c r="D76" t="str">
        <x:v>Infusomat Space</x:v>
      </x:c>
      <x:c r="E76" t="str">
        <x:v>Infusomat Space</x:v>
      </x:c>
      <x:c r="F76" t="str">
        <x:v>BBRAUN_INFUSOMAT</x:v>
      </x:c>
      <x:c r="G76" t="str">
        <x:v>Warehouse</x:v>
      </x:c>
      <x:c r="H76" t="str">
        <x:v>รอสอบเทียบ</x:v>
      </x:c>
      <x:c r="I76" t="str">
        <x:v>รอสอบเทียบ</x:v>
      </x:c>
      <x:c r="J76" t="str">
        <x:v>ไม่มีสัญญา</x:v>
      </x:c>
      <x:c r="K76" t="str">
        <x:v>รอสอบเทียบก่อนพร้อมส่ง</x:v>
      </x:c>
      <x:c r="L76" t="str">
        <x:v>ไม่ได้เช่ายืม = รอสอบเทียบ</x:v>
      </x:c>
      <x:c r="M76" t="str">
        <x:f>IF(OR(H76="ใช้งานไม่ได้",H76="BROKEN",H76="Broken"),"ใช้งานไม่ได้",IF(OR(H76="ไม่พบในรายการ",H76="MISSING",H76="Missing"),"ไม่พบในรายการ",IF(OR(J76="เช่ายืม",J76="IN_USE",J76="IN-USE",H76="เช่ายืม"),"เช่ายืม",IF(H76="พร้อมส่ง","พร้อมส่ง","รอสอบเทียบ"))))</x:f>
        <x:v>รอสอบเทียบ</x:v>
      </x:c>
    </x:row>
    <x:row r="77">
      <x:c r="A77" t="str">
        <x:v>125359</x:v>
      </x:c>
      <x:c r="B77" t="str">
        <x:v>125359</x:v>
      </x:c>
      <x:c r="C77" t="str">
        <x:v>B.Braun</x:v>
      </x:c>
      <x:c r="D77" t="str">
        <x:v>Infusomat Space</x:v>
      </x:c>
      <x:c r="E77" t="str">
        <x:v>Infusomat Space</x:v>
      </x:c>
      <x:c r="F77" t="str">
        <x:v>BBRAUN_INFUSOMAT</x:v>
      </x:c>
      <x:c r="G77" t="str">
        <x:v>Warehouse</x:v>
      </x:c>
      <x:c r="H77" t="str">
        <x:v>รอสอบเทียบ</x:v>
      </x:c>
      <x:c r="I77" t="str">
        <x:v>รอสอบเทียบ</x:v>
      </x:c>
      <x:c r="J77" t="str">
        <x:v>ไม่มีสัญญา</x:v>
      </x:c>
      <x:c r="K77" t="str">
        <x:v>รอสอบเทียบก่อนพร้อมส่ง</x:v>
      </x:c>
      <x:c r="L77" t="str">
        <x:v>ไม่ได้เช่ายืม = รอสอบเทียบ</x:v>
      </x:c>
      <x:c r="M77" t="str">
        <x:f>IF(OR(H77="ใช้งานไม่ได้",H77="BROKEN",H77="Broken"),"ใช้งานไม่ได้",IF(OR(H77="ไม่พบในรายการ",H77="MISSING",H77="Missing"),"ไม่พบในรายการ",IF(OR(J77="เช่ายืม",J77="IN_USE",J77="IN-USE",H77="เช่ายืม"),"เช่ายืม",IF(H77="พร้อมส่ง","พร้อมส่ง","รอสอบเทียบ"))))</x:f>
        <x:v>รอสอบเทียบ</x:v>
      </x:c>
    </x:row>
    <x:row r="78">
      <x:c r="A78" t="str">
        <x:v>125371</x:v>
      </x:c>
      <x:c r="B78" t="str">
        <x:v>125371</x:v>
      </x:c>
      <x:c r="C78" t="str">
        <x:v>B.Braun</x:v>
      </x:c>
      <x:c r="D78" t="str">
        <x:v>Infusomat Space</x:v>
      </x:c>
      <x:c r="E78" t="str">
        <x:v>Infusomat Space</x:v>
      </x:c>
      <x:c r="F78" t="str">
        <x:v>BBRAUN_INFUSOMAT</x:v>
      </x:c>
      <x:c r="G78" t="str">
        <x:v>Warehouse</x:v>
      </x:c>
      <x:c r="H78" t="str">
        <x:v>รอสอบเทียบ</x:v>
      </x:c>
      <x:c r="I78" t="str">
        <x:v>รอสอบเทียบ</x:v>
      </x:c>
      <x:c r="J78" t="str">
        <x:v>ไม่มีสัญญา</x:v>
      </x:c>
      <x:c r="K78" t="str">
        <x:v>รอสอบเทียบก่อนพร้อมส่ง</x:v>
      </x:c>
      <x:c r="L78" t="str">
        <x:v>ไม่ได้เช่ายืม = รอสอบเทียบ</x:v>
      </x:c>
      <x:c r="M78" t="str">
        <x:f>IF(OR(H78="ใช้งานไม่ได้",H78="BROKEN",H78="Broken"),"ใช้งานไม่ได้",IF(OR(H78="ไม่พบในรายการ",H78="MISSING",H78="Missing"),"ไม่พบในรายการ",IF(OR(J78="เช่ายืม",J78="IN_USE",J78="IN-USE",H78="เช่ายืม"),"เช่ายืม",IF(H78="พร้อมส่ง","พร้อมส่ง","รอสอบเทียบ"))))</x:f>
        <x:v>รอสอบเทียบ</x:v>
      </x:c>
    </x:row>
    <x:row r="79">
      <x:c r="A79" t="str">
        <x:v>125375</x:v>
      </x:c>
      <x:c r="B79" t="str">
        <x:v>125375</x:v>
      </x:c>
      <x:c r="C79" t="str">
        <x:v>B.Braun</x:v>
      </x:c>
      <x:c r="D79" t="str">
        <x:v>Infusomat Space</x:v>
      </x:c>
      <x:c r="E79" t="str">
        <x:v>Infusomat Space</x:v>
      </x:c>
      <x:c r="F79" t="str">
        <x:v>BBRAUN_INFUSOMAT</x:v>
      </x:c>
      <x:c r="G79" t="str">
        <x:v>Warehouse</x:v>
      </x:c>
      <x:c r="H79" t="str">
        <x:v>รอสอบเทียบ</x:v>
      </x:c>
      <x:c r="I79" t="str">
        <x:v>รอสอบเทียบ</x:v>
      </x:c>
      <x:c r="J79" t="str">
        <x:v>ไม่มีสัญญา</x:v>
      </x:c>
      <x:c r="K79" t="str">
        <x:v>รอสอบเทียบก่อนพร้อมส่ง</x:v>
      </x:c>
      <x:c r="L79" t="str">
        <x:v>ไม่ได้เช่ายืม = รอสอบเทียบ</x:v>
      </x:c>
      <x:c r="M79" t="str">
        <x:f>IF(OR(H79="ใช้งานไม่ได้",H79="BROKEN",H79="Broken"),"ใช้งานไม่ได้",IF(OR(H79="ไม่พบในรายการ",H79="MISSING",H79="Missing"),"ไม่พบในรายการ",IF(OR(J79="เช่ายืม",J79="IN_USE",J79="IN-USE",H79="เช่ายืม"),"เช่ายืม",IF(H79="พร้อมส่ง","พร้อมส่ง","รอสอบเทียบ"))))</x:f>
        <x:v>รอสอบเทียบ</x:v>
      </x:c>
    </x:row>
    <x:row r="80">
      <x:c r="A80" t="str">
        <x:v>125385</x:v>
      </x:c>
      <x:c r="B80" t="str">
        <x:v>125385</x:v>
      </x:c>
      <x:c r="C80" t="str">
        <x:v>B.Braun</x:v>
      </x:c>
      <x:c r="D80" t="str">
        <x:v>Infusomat Space</x:v>
      </x:c>
      <x:c r="E80" t="str">
        <x:v>Infusomat Space</x:v>
      </x:c>
      <x:c r="F80" t="str">
        <x:v>BBRAUN_INFUSOMAT</x:v>
      </x:c>
      <x:c r="G80" t="str">
        <x:v>Warehouse</x:v>
      </x:c>
      <x:c r="H80" t="str">
        <x:v>รอสอบเทียบ</x:v>
      </x:c>
      <x:c r="I80" t="str">
        <x:v>รอสอบเทียบ</x:v>
      </x:c>
      <x:c r="J80" t="str">
        <x:v>ไม่มีสัญญา</x:v>
      </x:c>
      <x:c r="K80" t="str">
        <x:v>รอสอบเทียบก่อนพร้อมส่ง</x:v>
      </x:c>
      <x:c r="L80" t="str">
        <x:v>ไม่ได้เช่ายืม = รอสอบเทียบ</x:v>
      </x:c>
      <x:c r="M80" t="str">
        <x:f>IF(OR(H80="ใช้งานไม่ได้",H80="BROKEN",H80="Broken"),"ใช้งานไม่ได้",IF(OR(H80="ไม่พบในรายการ",H80="MISSING",H80="Missing"),"ไม่พบในรายการ",IF(OR(J80="เช่ายืม",J80="IN_USE",J80="IN-USE",H80="เช่ายืม"),"เช่ายืม",IF(H80="พร้อมส่ง","พร้อมส่ง","รอสอบเทียบ"))))</x:f>
        <x:v>รอสอบเทียบ</x:v>
      </x:c>
    </x:row>
    <x:row r="81">
      <x:c r="A81" t="str">
        <x:v>125395</x:v>
      </x:c>
      <x:c r="B81" t="str">
        <x:v>125395</x:v>
      </x:c>
      <x:c r="C81" t="str">
        <x:v>B.Braun</x:v>
      </x:c>
      <x:c r="D81" t="str">
        <x:v>Infusomat Space</x:v>
      </x:c>
      <x:c r="E81" t="str">
        <x:v>Infusomat Space</x:v>
      </x:c>
      <x:c r="F81" t="str">
        <x:v>BBRAUN_INFUSOMAT</x:v>
      </x:c>
      <x:c r="G81" t="str">
        <x:v>Warehouse</x:v>
      </x:c>
      <x:c r="H81" t="str">
        <x:v>รอสอบเทียบ</x:v>
      </x:c>
      <x:c r="I81" t="str">
        <x:v>รอสอบเทียบ</x:v>
      </x:c>
      <x:c r="J81" t="str">
        <x:v>ไม่มีสัญญา</x:v>
      </x:c>
      <x:c r="K81" t="str">
        <x:v>รอสอบเทียบก่อนพร้อมส่ง</x:v>
      </x:c>
      <x:c r="L81" t="str">
        <x:v>ไม่ได้เช่ายืม = รอสอบเทียบ</x:v>
      </x:c>
      <x:c r="M81" t="str">
        <x:f>IF(OR(H81="ใช้งานไม่ได้",H81="BROKEN",H81="Broken"),"ใช้งานไม่ได้",IF(OR(H81="ไม่พบในรายการ",H81="MISSING",H81="Missing"),"ไม่พบในรายการ",IF(OR(J81="เช่ายืม",J81="IN_USE",J81="IN-USE",H81="เช่ายืม"),"เช่ายืม",IF(H81="พร้อมส่ง","พร้อมส่ง","รอสอบเทียบ"))))</x:f>
        <x:v>รอสอบเทียบ</x:v>
      </x:c>
    </x:row>
    <x:row r="82">
      <x:c r="A82" t="str">
        <x:v>125418</x:v>
      </x:c>
      <x:c r="B82" t="str">
        <x:v>125418</x:v>
      </x:c>
      <x:c r="C82" t="str">
        <x:v>B.Braun</x:v>
      </x:c>
      <x:c r="D82" t="str">
        <x:v>Infusomat Space</x:v>
      </x:c>
      <x:c r="E82" t="str">
        <x:v>Infusomat Space</x:v>
      </x:c>
      <x:c r="F82" t="str">
        <x:v>BBRAUN_INFUSOMAT</x:v>
      </x:c>
      <x:c r="G82" t="str">
        <x:v>Warehouse</x:v>
      </x:c>
      <x:c r="H82" t="str">
        <x:v>รอสอบเทียบ</x:v>
      </x:c>
      <x:c r="I82" t="str">
        <x:v>รอสอบเทียบ</x:v>
      </x:c>
      <x:c r="J82" t="str">
        <x:v>ไม่มีสัญญา</x:v>
      </x:c>
      <x:c r="K82" t="str">
        <x:v>รอสอบเทียบก่อนพร้อมส่ง</x:v>
      </x:c>
      <x:c r="L82" t="str">
        <x:v>ไม่ได้เช่ายืม = รอสอบเทียบ</x:v>
      </x:c>
      <x:c r="M82" t="str">
        <x:f>IF(OR(H82="ใช้งานไม่ได้",H82="BROKEN",H82="Broken"),"ใช้งานไม่ได้",IF(OR(H82="ไม่พบในรายการ",H82="MISSING",H82="Missing"),"ไม่พบในรายการ",IF(OR(J82="เช่ายืม",J82="IN_USE",J82="IN-USE",H82="เช่ายืม"),"เช่ายืม",IF(H82="พร้อมส่ง","พร้อมส่ง","รอสอบเทียบ"))))</x:f>
        <x:v>รอสอบเทียบ</x:v>
      </x:c>
    </x:row>
    <x:row r="83">
      <x:c r="A83" t="str">
        <x:v>125468</x:v>
      </x:c>
      <x:c r="B83" t="str">
        <x:v>NHBB0213</x:v>
      </x:c>
      <x:c r="C83" t="str">
        <x:v>B.Braun</x:v>
      </x:c>
      <x:c r="D83" t="str">
        <x:v>Infusomat Space</x:v>
      </x:c>
      <x:c r="E83" t="str">
        <x:v>Infusomat Space</x:v>
      </x:c>
      <x:c r="F83" t="str">
        <x:v>BBRAUN_INFUSOMAT</x:v>
      </x:c>
      <x:c r="G83" t="str">
        <x:v>รับคืนจาก Viva</x:v>
      </x:c>
      <x:c r="H83" t="str">
        <x:v>เช่ายืม</x:v>
      </x:c>
      <x:c r="I83" t="str">
        <x:v>พร้อมส่ง</x:v>
      </x:c>
      <x:c r="J83" t="str">
        <x:v>เช่ายืม</x:v>
      </x:c>
      <x:c r="K83" t="str">
        <x:v>No action</x:v>
      </x:c>
      <x:c r="L83"/>
      <x:c r="M83" t="str">
        <x:f>IF(OR(H83="ใช้งานไม่ได้",H83="BROKEN",H83="Broken"),"ใช้งานไม่ได้",IF(OR(H83="ไม่พบในรายการ",H83="MISSING",H83="Missing"),"ไม่พบในรายการ",IF(OR(J83="เช่ายืม",J83="IN_USE",J83="IN-USE",H83="เช่ายืม"),"เช่ายืม",IF(H83="พร้อมส่ง","พร้อมส่ง","รอสอบเทียบ"))))</x:f>
        <x:v>เช่ายืม</x:v>
      </x:c>
    </x:row>
    <x:row r="84">
      <x:c r="A84" t="str">
        <x:v>125484</x:v>
      </x:c>
      <x:c r="B84" t="str">
        <x:v>125484</x:v>
      </x:c>
      <x:c r="C84" t="str">
        <x:v>B.Braun</x:v>
      </x:c>
      <x:c r="D84" t="str">
        <x:v>Infusomat Space</x:v>
      </x:c>
      <x:c r="E84" t="str">
        <x:v>Infusomat Space</x:v>
      </x:c>
      <x:c r="F84" t="str">
        <x:v>BBRAUN_INFUSOMAT</x:v>
      </x:c>
      <x:c r="G84" t="str">
        <x:v>Warehouse</x:v>
      </x:c>
      <x:c r="H84" t="str">
        <x:v>รอสอบเทียบ</x:v>
      </x:c>
      <x:c r="I84" t="str">
        <x:v>รอสอบเทียบ</x:v>
      </x:c>
      <x:c r="J84" t="str">
        <x:v>ไม่มีสัญญา</x:v>
      </x:c>
      <x:c r="K84" t="str">
        <x:v>รอสอบเทียบก่อนพร้อมส่ง</x:v>
      </x:c>
      <x:c r="L84" t="str">
        <x:v>ไม่ได้เช่ายืม = รอสอบเทียบ</x:v>
      </x:c>
      <x:c r="M84" t="str">
        <x:f>IF(OR(H84="ใช้งานไม่ได้",H84="BROKEN",H84="Broken"),"ใช้งานไม่ได้",IF(OR(H84="ไม่พบในรายการ",H84="MISSING",H84="Missing"),"ไม่พบในรายการ",IF(OR(J84="เช่ายืม",J84="IN_USE",J84="IN-USE",H84="เช่ายืม"),"เช่ายืม",IF(H84="พร้อมส่ง","พร้อมส่ง","รอสอบเทียบ"))))</x:f>
        <x:v>รอสอบเทียบ</x:v>
      </x:c>
    </x:row>
    <x:row r="85">
      <x:c r="A85" t="str">
        <x:v>125485</x:v>
      </x:c>
      <x:c r="B85" t="str">
        <x:v>125485</x:v>
      </x:c>
      <x:c r="C85" t="str">
        <x:v>B.Braun</x:v>
      </x:c>
      <x:c r="D85" t="str">
        <x:v>Infusomat Space</x:v>
      </x:c>
      <x:c r="E85" t="str">
        <x:v>Infusomat Space</x:v>
      </x:c>
      <x:c r="F85" t="str">
        <x:v>BBRAUN_INFUSOMAT</x:v>
      </x:c>
      <x:c r="G85" t="str">
        <x:v>Warehouse</x:v>
      </x:c>
      <x:c r="H85" t="str">
        <x:v>รอสอบเทียบ</x:v>
      </x:c>
      <x:c r="I85" t="str">
        <x:v>รอสอบเทียบ</x:v>
      </x:c>
      <x:c r="J85" t="str">
        <x:v>ไม่มีสัญญา</x:v>
      </x:c>
      <x:c r="K85" t="str">
        <x:v>รอสอบเทียบก่อนพร้อมส่ง</x:v>
      </x:c>
      <x:c r="L85" t="str">
        <x:v>ไม่ได้เช่ายืม = รอสอบเทียบ</x:v>
      </x:c>
      <x:c r="M85" t="str">
        <x:f>IF(OR(H85="ใช้งานไม่ได้",H85="BROKEN",H85="Broken"),"ใช้งานไม่ได้",IF(OR(H85="ไม่พบในรายการ",H85="MISSING",H85="Missing"),"ไม่พบในรายการ",IF(OR(J85="เช่ายืม",J85="IN_USE",J85="IN-USE",H85="เช่ายืม"),"เช่ายืม",IF(H85="พร้อมส่ง","พร้อมส่ง","รอสอบเทียบ"))))</x:f>
        <x:v>รอสอบเทียบ</x:v>
      </x:c>
    </x:row>
    <x:row r="86">
      <x:c r="A86" t="str">
        <x:v>125503</x:v>
      </x:c>
      <x:c r="B86" t="str">
        <x:v>125503</x:v>
      </x:c>
      <x:c r="C86" t="str">
        <x:v>B.Braun</x:v>
      </x:c>
      <x:c r="D86" t="str">
        <x:v>Infusomat Space</x:v>
      </x:c>
      <x:c r="E86" t="str">
        <x:v>Infusomat Space</x:v>
      </x:c>
      <x:c r="F86" t="str">
        <x:v>BBRAUN_INFUSOMAT</x:v>
      </x:c>
      <x:c r="G86" t="str">
        <x:v>BHP</x:v>
      </x:c>
      <x:c r="H86" t="str">
        <x:v>เช่ายืม</x:v>
      </x:c>
      <x:c r="I86" t="str">
        <x:v>พร้อมส่ง</x:v>
      </x:c>
      <x:c r="J86" t="str">
        <x:v>เช่ายืม</x:v>
      </x:c>
      <x:c r="K86" t="str">
        <x:v>อยู่ระหว่างเช่ายืม / เกินกำหนดคืน 60 วัน</x:v>
      </x:c>
      <x:c r="L86"/>
      <x:c r="M86" t="str">
        <x:f>IF(OR(H86="ใช้งานไม่ได้",H86="BROKEN",H86="Broken"),"ใช้งานไม่ได้",IF(OR(H86="ไม่พบในรายการ",H86="MISSING",H86="Missing"),"ไม่พบในรายการ",IF(OR(J86="เช่ายืม",J86="IN_USE",J86="IN-USE",H86="เช่ายืม"),"เช่ายืม",IF(H86="พร้อมส่ง","พร้อมส่ง","รอสอบเทียบ"))))</x:f>
        <x:v>เช่ายืม</x:v>
      </x:c>
    </x:row>
    <x:row r="87">
      <x:c r="A87" t="str">
        <x:v>125508</x:v>
      </x:c>
      <x:c r="B87" t="str">
        <x:v>125508</x:v>
      </x:c>
      <x:c r="C87" t="str">
        <x:v>B.Braun</x:v>
      </x:c>
      <x:c r="D87" t="str">
        <x:v>Infusomat Space</x:v>
      </x:c>
      <x:c r="E87" t="str">
        <x:v>Infusomat Space</x:v>
      </x:c>
      <x:c r="F87" t="str">
        <x:v>BBRAUN_INFUSOMAT</x:v>
      </x:c>
      <x:c r="G87" t="str">
        <x:v>BHP</x:v>
      </x:c>
      <x:c r="H87" t="str">
        <x:v>เช่ายืม</x:v>
      </x:c>
      <x:c r="I87" t="str">
        <x:v>พร้อมส่ง</x:v>
      </x:c>
      <x:c r="J87" t="str">
        <x:v>เช่ายืม</x:v>
      </x:c>
      <x:c r="K87" t="str">
        <x:v>อยู่ระหว่างเช่ายืม / เกินกำหนดคืน 60 วัน</x:v>
      </x:c>
      <x:c r="L87"/>
      <x:c r="M87" t="str">
        <x:f>IF(OR(H87="ใช้งานไม่ได้",H87="BROKEN",H87="Broken"),"ใช้งานไม่ได้",IF(OR(H87="ไม่พบในรายการ",H87="MISSING",H87="Missing"),"ไม่พบในรายการ",IF(OR(J87="เช่ายืม",J87="IN_USE",J87="IN-USE",H87="เช่ายืม"),"เช่ายืม",IF(H87="พร้อมส่ง","พร้อมส่ง","รอสอบเทียบ"))))</x:f>
        <x:v>เช่ายืม</x:v>
      </x:c>
    </x:row>
    <x:row r="88">
      <x:c r="A88" t="str">
        <x:v>125531</x:v>
      </x:c>
      <x:c r="B88" t="str">
        <x:v>125531</x:v>
      </x:c>
      <x:c r="C88" t="str">
        <x:v>B.Braun</x:v>
      </x:c>
      <x:c r="D88" t="str">
        <x:v>Infusomat Space</x:v>
      </x:c>
      <x:c r="E88" t="str">
        <x:v>Infusomat Space</x:v>
      </x:c>
      <x:c r="F88" t="str">
        <x:v>BBRAUN_INFUSOMAT</x:v>
      </x:c>
      <x:c r="G88" t="str">
        <x:v>Warehouse</x:v>
      </x:c>
      <x:c r="H88" t="str">
        <x:v>รอสอบเทียบ</x:v>
      </x:c>
      <x:c r="I88" t="str">
        <x:v>รอสอบเทียบ</x:v>
      </x:c>
      <x:c r="J88" t="str">
        <x:v>ไม่มีสัญญา</x:v>
      </x:c>
      <x:c r="K88" t="str">
        <x:v>รอสอบเทียบก่อนพร้อมส่ง</x:v>
      </x:c>
      <x:c r="L88" t="str">
        <x:v>ไม่ได้เช่ายืม = รอสอบเทียบ</x:v>
      </x:c>
      <x:c r="M88" t="str">
        <x:f>IF(OR(H88="ใช้งานไม่ได้",H88="BROKEN",H88="Broken"),"ใช้งานไม่ได้",IF(OR(H88="ไม่พบในรายการ",H88="MISSING",H88="Missing"),"ไม่พบในรายการ",IF(OR(J88="เช่ายืม",J88="IN_USE",J88="IN-USE",H88="เช่ายืม"),"เช่ายืม",IF(H88="พร้อมส่ง","พร้อมส่ง","รอสอบเทียบ"))))</x:f>
        <x:v>รอสอบเทียบ</x:v>
      </x:c>
    </x:row>
    <x:row r="89">
      <x:c r="A89" t="str">
        <x:v>125548</x:v>
      </x:c>
      <x:c r="B89" t="str">
        <x:v>NHBB0008</x:v>
      </x:c>
      <x:c r="C89" t="str">
        <x:v>B.Braun</x:v>
      </x:c>
      <x:c r="D89" t="str">
        <x:v>Infusomat Space</x:v>
      </x:c>
      <x:c r="E89" t="str">
        <x:v>Infusomat Space</x:v>
      </x:c>
      <x:c r="F89" t="str">
        <x:v>BBRAUN_INFUSOMAT</x:v>
      </x:c>
      <x:c r="G89" t="str">
        <x:v>รพ.เชียงรายประชานุเคราะห์</x:v>
      </x:c>
      <x:c r="H89" t="str">
        <x:v>เช่ายืม</x:v>
      </x:c>
      <x:c r="I89" t="str">
        <x:v>พร้อมส่ง</x:v>
      </x:c>
      <x:c r="J89" t="str">
        <x:v>เช่ายืม</x:v>
      </x:c>
      <x:c r="K89" t="str">
        <x:v>No action</x:v>
      </x:c>
      <x:c r="L89"/>
      <x:c r="M89" t="str">
        <x:f>IF(OR(H89="ใช้งานไม่ได้",H89="BROKEN",H89="Broken"),"ใช้งานไม่ได้",IF(OR(H89="ไม่พบในรายการ",H89="MISSING",H89="Missing"),"ไม่พบในรายการ",IF(OR(J89="เช่ายืม",J89="IN_USE",J89="IN-USE",H89="เช่ายืม"),"เช่ายืม",IF(H89="พร้อมส่ง","พร้อมส่ง","รอสอบเทียบ"))))</x:f>
        <x:v>เช่ายืม</x:v>
      </x:c>
    </x:row>
    <x:row r="90">
      <x:c r="A90" t="str">
        <x:v>125562</x:v>
      </x:c>
      <x:c r="B90" t="str">
        <x:v>125562</x:v>
      </x:c>
      <x:c r="C90" t="str">
        <x:v>B.Braun</x:v>
      </x:c>
      <x:c r="D90" t="str">
        <x:v>Infusomat Space</x:v>
      </x:c>
      <x:c r="E90" t="str">
        <x:v>Infusomat Space</x:v>
      </x:c>
      <x:c r="F90" t="str">
        <x:v>BBRAUN_INFUSOMAT</x:v>
      </x:c>
      <x:c r="G90" t="str">
        <x:v>Warehouse</x:v>
      </x:c>
      <x:c r="H90" t="str">
        <x:v>รอสอบเทียบ</x:v>
      </x:c>
      <x:c r="I90" t="str">
        <x:v>รอสอบเทียบ</x:v>
      </x:c>
      <x:c r="J90" t="str">
        <x:v>ไม่มีสัญญา</x:v>
      </x:c>
      <x:c r="K90" t="str">
        <x:v>รอสอบเทียบก่อนพร้อมส่ง</x:v>
      </x:c>
      <x:c r="L90" t="str">
        <x:v>ไม่ได้เช่ายืม = รอสอบเทียบ</x:v>
      </x:c>
      <x:c r="M90" t="str">
        <x:f>IF(OR(H90="ใช้งานไม่ได้",H90="BROKEN",H90="Broken"),"ใช้งานไม่ได้",IF(OR(H90="ไม่พบในรายการ",H90="MISSING",H90="Missing"),"ไม่พบในรายการ",IF(OR(J90="เช่ายืม",J90="IN_USE",J90="IN-USE",H90="เช่ายืม"),"เช่ายืม",IF(H90="พร้อมส่ง","พร้อมส่ง","รอสอบเทียบ"))))</x:f>
        <x:v>รอสอบเทียบ</x:v>
      </x:c>
    </x:row>
    <x:row r="91">
      <x:c r="A91" t="str">
        <x:v>125577</x:v>
      </x:c>
      <x:c r="B91" t="str">
        <x:v>125577</x:v>
      </x:c>
      <x:c r="C91" t="str">
        <x:v>B.Braun</x:v>
      </x:c>
      <x:c r="D91" t="str">
        <x:v>Infusomat Space</x:v>
      </x:c>
      <x:c r="E91" t="str">
        <x:v>Infusomat Space</x:v>
      </x:c>
      <x:c r="F91" t="str">
        <x:v>BBRAUN_INFUSOMAT</x:v>
      </x:c>
      <x:c r="G91" t="str">
        <x:v>Warehouse</x:v>
      </x:c>
      <x:c r="H91" t="str">
        <x:v>รอสอบเทียบ</x:v>
      </x:c>
      <x:c r="I91" t="str">
        <x:v>รอสอบเทียบ</x:v>
      </x:c>
      <x:c r="J91" t="str">
        <x:v>ไม่มีสัญญา</x:v>
      </x:c>
      <x:c r="K91" t="str">
        <x:v>รอสอบเทียบก่อนพร้อมส่ง</x:v>
      </x:c>
      <x:c r="L91" t="str">
        <x:v>ไม่ได้เช่ายืม = รอสอบเทียบ</x:v>
      </x:c>
      <x:c r="M91" t="str">
        <x:f>IF(OR(H91="ใช้งานไม่ได้",H91="BROKEN",H91="Broken"),"ใช้งานไม่ได้",IF(OR(H91="ไม่พบในรายการ",H91="MISSING",H91="Missing"),"ไม่พบในรายการ",IF(OR(J91="เช่ายืม",J91="IN_USE",J91="IN-USE",H91="เช่ายืม"),"เช่ายืม",IF(H91="พร้อมส่ง","พร้อมส่ง","รอสอบเทียบ"))))</x:f>
        <x:v>รอสอบเทียบ</x:v>
      </x:c>
    </x:row>
    <x:row r="92">
      <x:c r="A92" t="str">
        <x:v>125636</x:v>
      </x:c>
      <x:c r="B92" t="str">
        <x:v>125636</x:v>
      </x:c>
      <x:c r="C92" t="str">
        <x:v>B.Braun</x:v>
      </x:c>
      <x:c r="D92" t="str">
        <x:v>Infusomat Space</x:v>
      </x:c>
      <x:c r="E92" t="str">
        <x:v>Infusomat Space</x:v>
      </x:c>
      <x:c r="F92" t="str">
        <x:v>BBRAUN_INFUSOMAT</x:v>
      </x:c>
      <x:c r="G92" t="str">
        <x:v>Warehouse</x:v>
      </x:c>
      <x:c r="H92" t="str">
        <x:v>รอสอบเทียบ</x:v>
      </x:c>
      <x:c r="I92" t="str">
        <x:v>รอสอบเทียบ</x:v>
      </x:c>
      <x:c r="J92" t="str">
        <x:v>ไม่มีสัญญา</x:v>
      </x:c>
      <x:c r="K92" t="str">
        <x:v>รอสอบเทียบก่อนพร้อมส่ง</x:v>
      </x:c>
      <x:c r="L92" t="str">
        <x:v>ไม่ได้เช่ายืม = รอสอบเทียบ</x:v>
      </x:c>
      <x:c r="M92" t="str">
        <x:f>IF(OR(H92="ใช้งานไม่ได้",H92="BROKEN",H92="Broken"),"ใช้งานไม่ได้",IF(OR(H92="ไม่พบในรายการ",H92="MISSING",H92="Missing"),"ไม่พบในรายการ",IF(OR(J92="เช่ายืม",J92="IN_USE",J92="IN-USE",H92="เช่ายืม"),"เช่ายืม",IF(H92="พร้อมส่ง","พร้อมส่ง","รอสอบเทียบ"))))</x:f>
        <x:v>รอสอบเทียบ</x:v>
      </x:c>
    </x:row>
    <x:row r="93">
      <x:c r="A93" t="str">
        <x:v>125653</x:v>
      </x:c>
      <x:c r="B93" t="str">
        <x:v>125653</x:v>
      </x:c>
      <x:c r="C93" t="str">
        <x:v>B.Braun</x:v>
      </x:c>
      <x:c r="D93" t="str">
        <x:v>Infusomat Space</x:v>
      </x:c>
      <x:c r="E93" t="str">
        <x:v>Infusomat Space</x:v>
      </x:c>
      <x:c r="F93" t="str">
        <x:v>BBRAUN_INFUSOMAT</x:v>
      </x:c>
      <x:c r="G93" t="str">
        <x:v>Warehouse</x:v>
      </x:c>
      <x:c r="H93" t="str">
        <x:v>รอสอบเทียบ</x:v>
      </x:c>
      <x:c r="I93" t="str">
        <x:v>รอสอบเทียบ</x:v>
      </x:c>
      <x:c r="J93" t="str">
        <x:v>ไม่มีสัญญา</x:v>
      </x:c>
      <x:c r="K93" t="str">
        <x:v>รอสอบเทียบก่อนพร้อมส่ง</x:v>
      </x:c>
      <x:c r="L93" t="str">
        <x:v>ไม่ได้เช่ายืม = รอสอบเทียบ</x:v>
      </x:c>
      <x:c r="M93" t="str">
        <x:f>IF(OR(H93="ใช้งานไม่ได้",H93="BROKEN",H93="Broken"),"ใช้งานไม่ได้",IF(OR(H93="ไม่พบในรายการ",H93="MISSING",H93="Missing"),"ไม่พบในรายการ",IF(OR(J93="เช่ายืม",J93="IN_USE",J93="IN-USE",H93="เช่ายืม"),"เช่ายืม",IF(H93="พร้อมส่ง","พร้อมส่ง","รอสอบเทียบ"))))</x:f>
        <x:v>รอสอบเทียบ</x:v>
      </x:c>
    </x:row>
    <x:row r="94">
      <x:c r="A94" t="str">
        <x:v>125660</x:v>
      </x:c>
      <x:c r="B94" t="str">
        <x:v>125660</x:v>
      </x:c>
      <x:c r="C94" t="str">
        <x:v>B.Braun</x:v>
      </x:c>
      <x:c r="D94" t="str">
        <x:v>Infusomat Space</x:v>
      </x:c>
      <x:c r="E94" t="str">
        <x:v>Infusomat Space</x:v>
      </x:c>
      <x:c r="F94" t="str">
        <x:v>BBRAUN_INFUSOMAT</x:v>
      </x:c>
      <x:c r="G94" t="str">
        <x:v>ABSOLUTE HEALTH CLINIC</x:v>
      </x:c>
      <x:c r="H94" t="str">
        <x:v>เช่ายืม</x:v>
      </x:c>
      <x:c r="I94" t="str">
        <x:v>พร้อมส่ง</x:v>
      </x:c>
      <x:c r="J94" t="str">
        <x:v>เช่ายืม</x:v>
      </x:c>
      <x:c r="K94" t="str">
        <x:v>อยู่ระหว่างเช่ายืม / เกินกำหนดคืน 90 วัน</x:v>
      </x:c>
      <x:c r="L94"/>
      <x:c r="M94" t="str">
        <x:f>IF(OR(H94="ใช้งานไม่ได้",H94="BROKEN",H94="Broken"),"ใช้งานไม่ได้",IF(OR(H94="ไม่พบในรายการ",H94="MISSING",H94="Missing"),"ไม่พบในรายการ",IF(OR(J94="เช่ายืม",J94="IN_USE",J94="IN-USE",H94="เช่ายืม"),"เช่ายืม",IF(H94="พร้อมส่ง","พร้อมส่ง","รอสอบเทียบ"))))</x:f>
        <x:v>เช่ายืม</x:v>
      </x:c>
    </x:row>
    <x:row r="95">
      <x:c r="A95" t="str">
        <x:v>125679</x:v>
      </x:c>
      <x:c r="B95" t="str">
        <x:v>125679</x:v>
      </x:c>
      <x:c r="C95" t="str">
        <x:v>B.Braun</x:v>
      </x:c>
      <x:c r="D95" t="str">
        <x:v>Infusomat Space</x:v>
      </x:c>
      <x:c r="E95" t="str">
        <x:v>Infusomat Space</x:v>
      </x:c>
      <x:c r="F95" t="str">
        <x:v>BBRAUN_INFUSOMAT</x:v>
      </x:c>
      <x:c r="G95" t="str">
        <x:v>ABSOLUTE HEALTH CLINIC</x:v>
      </x:c>
      <x:c r="H95" t="str">
        <x:v>เช่ายืม</x:v>
      </x:c>
      <x:c r="I95" t="str">
        <x:v>พร้อมส่ง</x:v>
      </x:c>
      <x:c r="J95" t="str">
        <x:v>เช่ายืม</x:v>
      </x:c>
      <x:c r="K95" t="str">
        <x:v>อยู่ระหว่างเช่ายืม / เกินกำหนดคืน 90 วัน</x:v>
      </x:c>
      <x:c r="L95"/>
      <x:c r="M95" t="str">
        <x:f>IF(OR(H95="ใช้งานไม่ได้",H95="BROKEN",H95="Broken"),"ใช้งานไม่ได้",IF(OR(H95="ไม่พบในรายการ",H95="MISSING",H95="Missing"),"ไม่พบในรายการ",IF(OR(J95="เช่ายืม",J95="IN_USE",J95="IN-USE",H95="เช่ายืม"),"เช่ายืม",IF(H95="พร้อมส่ง","พร้อมส่ง","รอสอบเทียบ"))))</x:f>
        <x:v>เช่ายืม</x:v>
      </x:c>
    </x:row>
    <x:row r="96">
      <x:c r="A96" t="str">
        <x:v>125691</x:v>
      </x:c>
      <x:c r="B96" t="str">
        <x:v>125691</x:v>
      </x:c>
      <x:c r="C96" t="str">
        <x:v>B.Braun</x:v>
      </x:c>
      <x:c r="D96" t="str">
        <x:v>Infusomat Space</x:v>
      </x:c>
      <x:c r="E96" t="str">
        <x:v>Infusomat Space</x:v>
      </x:c>
      <x:c r="F96" t="str">
        <x:v>BBRAUN_INFUSOMAT</x:v>
      </x:c>
      <x:c r="G96" t="str">
        <x:v>Warehouse</x:v>
      </x:c>
      <x:c r="H96" t="str">
        <x:v>รอสอบเทียบ</x:v>
      </x:c>
      <x:c r="I96" t="str">
        <x:v>รอสอบเทียบ</x:v>
      </x:c>
      <x:c r="J96" t="str">
        <x:v>ไม่มีสัญญา</x:v>
      </x:c>
      <x:c r="K96" t="str">
        <x:v>รอสอบเทียบก่อนพร้อมส่ง</x:v>
      </x:c>
      <x:c r="L96" t="str">
        <x:v>ไม่ได้เช่ายืม = รอสอบเทียบ</x:v>
      </x:c>
      <x:c r="M96" t="str">
        <x:f>IF(OR(H96="ใช้งานไม่ได้",H96="BROKEN",H96="Broken"),"ใช้งานไม่ได้",IF(OR(H96="ไม่พบในรายการ",H96="MISSING",H96="Missing"),"ไม่พบในรายการ",IF(OR(J96="เช่ายืม",J96="IN_USE",J96="IN-USE",H96="เช่ายืม"),"เช่ายืม",IF(H96="พร้อมส่ง","พร้อมส่ง","รอสอบเทียบ"))))</x:f>
        <x:v>รอสอบเทียบ</x:v>
      </x:c>
    </x:row>
    <x:row r="97">
      <x:c r="A97" t="str">
        <x:v>125714</x:v>
      </x:c>
      <x:c r="B97" t="str">
        <x:v>125714</x:v>
      </x:c>
      <x:c r="C97" t="str">
        <x:v>B.Braun</x:v>
      </x:c>
      <x:c r="D97" t="str">
        <x:v>Infusomat Space</x:v>
      </x:c>
      <x:c r="E97" t="str">
        <x:v>Infusomat Space</x:v>
      </x:c>
      <x:c r="F97" t="str">
        <x:v>BBRAUN_INFUSOMAT</x:v>
      </x:c>
      <x:c r="G97" t="str">
        <x:v>Warehouse</x:v>
      </x:c>
      <x:c r="H97" t="str">
        <x:v>รอสอบเทียบ</x:v>
      </x:c>
      <x:c r="I97" t="str">
        <x:v>รอสอบเทียบ</x:v>
      </x:c>
      <x:c r="J97" t="str">
        <x:v>ไม่มีสัญญา</x:v>
      </x:c>
      <x:c r="K97" t="str">
        <x:v>รอสอบเทียบก่อนพร้อมส่ง</x:v>
      </x:c>
      <x:c r="L97" t="str">
        <x:v>ไม่ได้เช่ายืม = รอสอบเทียบ</x:v>
      </x:c>
      <x:c r="M97" t="str">
        <x:f>IF(OR(H97="ใช้งานไม่ได้",H97="BROKEN",H97="Broken"),"ใช้งานไม่ได้",IF(OR(H97="ไม่พบในรายการ",H97="MISSING",H97="Missing"),"ไม่พบในรายการ",IF(OR(J97="เช่ายืม",J97="IN_USE",J97="IN-USE",H97="เช่ายืม"),"เช่ายืม",IF(H97="พร้อมส่ง","พร้อมส่ง","รอสอบเทียบ"))))</x:f>
        <x:v>รอสอบเทียบ</x:v>
      </x:c>
    </x:row>
    <x:row r="98">
      <x:c r="A98" t="str">
        <x:v>125723</x:v>
      </x:c>
      <x:c r="B98" t="str">
        <x:v>125723</x:v>
      </x:c>
      <x:c r="C98" t="str">
        <x:v>B.Braun</x:v>
      </x:c>
      <x:c r="D98" t="str">
        <x:v>Infusomat Space</x:v>
      </x:c>
      <x:c r="E98" t="str">
        <x:v>Infusomat Space</x:v>
      </x:c>
      <x:c r="F98" t="str">
        <x:v>BBRAUN_INFUSOMAT</x:v>
      </x:c>
      <x:c r="G98" t="str">
        <x:v>Warehouse</x:v>
      </x:c>
      <x:c r="H98" t="str">
        <x:v>รอสอบเทียบ</x:v>
      </x:c>
      <x:c r="I98" t="str">
        <x:v>รอสอบเทียบ</x:v>
      </x:c>
      <x:c r="J98" t="str">
        <x:v>ไม่มีสัญญา</x:v>
      </x:c>
      <x:c r="K98" t="str">
        <x:v>รอสอบเทียบก่อนพร้อมส่ง</x:v>
      </x:c>
      <x:c r="L98" t="str">
        <x:v>ไม่ได้เช่ายืม = รอสอบเทียบ</x:v>
      </x:c>
      <x:c r="M98" t="str">
        <x:f>IF(OR(H98="ใช้งานไม่ได้",H98="BROKEN",H98="Broken"),"ใช้งานไม่ได้",IF(OR(H98="ไม่พบในรายการ",H98="MISSING",H98="Missing"),"ไม่พบในรายการ",IF(OR(J98="เช่ายืม",J98="IN_USE",J98="IN-USE",H98="เช่ายืม"),"เช่ายืม",IF(H98="พร้อมส่ง","พร้อมส่ง","รอสอบเทียบ"))))</x:f>
        <x:v>รอสอบเทียบ</x:v>
      </x:c>
    </x:row>
    <x:row r="99">
      <x:c r="A99" t="str">
        <x:v>126329</x:v>
      </x:c>
      <x:c r="B99" t="str">
        <x:v>126329</x:v>
      </x:c>
      <x:c r="C99" t="str">
        <x:v>B.Braun</x:v>
      </x:c>
      <x:c r="D99" t="str">
        <x:v>Infusomat Space</x:v>
      </x:c>
      <x:c r="E99" t="str">
        <x:v>Infusomat Space</x:v>
      </x:c>
      <x:c r="F99" t="str">
        <x:v>BBRAUN_INFUSOMAT</x:v>
      </x:c>
      <x:c r="G99" t="str">
        <x:v>Warehouse</x:v>
      </x:c>
      <x:c r="H99" t="str">
        <x:v>รอสอบเทียบ</x:v>
      </x:c>
      <x:c r="I99" t="str">
        <x:v>รอสอบเทียบ</x:v>
      </x:c>
      <x:c r="J99" t="str">
        <x:v>ไม่มีสัญญา</x:v>
      </x:c>
      <x:c r="K99" t="str">
        <x:v>รอสอบเทียบก่อนพร้อมส่ง</x:v>
      </x:c>
      <x:c r="L99" t="str">
        <x:v>ไม่ได้เช่ายืม = รอสอบเทียบ</x:v>
      </x:c>
      <x:c r="M99" t="str">
        <x:f>IF(OR(H99="ใช้งานไม่ได้",H99="BROKEN",H99="Broken"),"ใช้งานไม่ได้",IF(OR(H99="ไม่พบในรายการ",H99="MISSING",H99="Missing"),"ไม่พบในรายการ",IF(OR(J99="เช่ายืม",J99="IN_USE",J99="IN-USE",H99="เช่ายืม"),"เช่ายืม",IF(H99="พร้อมส่ง","พร้อมส่ง","รอสอบเทียบ"))))</x:f>
        <x:v>รอสอบเทียบ</x:v>
      </x:c>
    </x:row>
    <x:row r="100">
      <x:c r="A100" t="str">
        <x:v>134499</x:v>
      </x:c>
      <x:c r="B100" t="str">
        <x:v>134499</x:v>
      </x:c>
      <x:c r="C100" t="str">
        <x:v>B.Braun</x:v>
      </x:c>
      <x:c r="D100" t="str">
        <x:v>Infusomat Space</x:v>
      </x:c>
      <x:c r="E100" t="str">
        <x:v>Infusomat Space</x:v>
      </x:c>
      <x:c r="F100" t="str">
        <x:v>BBRAUN_INFUSOMAT</x:v>
      </x:c>
      <x:c r="G100" t="str">
        <x:v>Warehouse</x:v>
      </x:c>
      <x:c r="H100" t="str">
        <x:v>รอสอบเทียบ</x:v>
      </x:c>
      <x:c r="I100" t="str">
        <x:v>รอสอบเทียบ</x:v>
      </x:c>
      <x:c r="J100" t="str">
        <x:v>ไม่มีสัญญา</x:v>
      </x:c>
      <x:c r="K100" t="str">
        <x:v>รอสอบเทียบก่อนพร้อมส่ง</x:v>
      </x:c>
      <x:c r="L100" t="str">
        <x:v>ไม่ได้เช่ายืม = รอสอบเทียบ</x:v>
      </x:c>
      <x:c r="M100" t="str">
        <x:f>IF(OR(H100="ใช้งานไม่ได้",H100="BROKEN",H100="Broken"),"ใช้งานไม่ได้",IF(OR(H100="ไม่พบในรายการ",H100="MISSING",H100="Missing"),"ไม่พบในรายการ",IF(OR(J100="เช่ายืม",J100="IN_USE",J100="IN-USE",H100="เช่ายืม"),"เช่ายืม",IF(H100="พร้อมส่ง","พร้อมส่ง","รอสอบเทียบ"))))</x:f>
        <x:v>รอสอบเทียบ</x:v>
      </x:c>
    </x:row>
    <x:row r="101">
      <x:c r="A101" t="str">
        <x:v>136811</x:v>
      </x:c>
      <x:c r="B101" t="str">
        <x:v>136811</x:v>
      </x:c>
      <x:c r="C101" t="str">
        <x:v>B.Braun</x:v>
      </x:c>
      <x:c r="D101" t="str">
        <x:v>Infusomat Space</x:v>
      </x:c>
      <x:c r="E101" t="str">
        <x:v>Infusomat Space</x:v>
      </x:c>
      <x:c r="F101" t="str">
        <x:v>BBRAUN_INFUSOMAT</x:v>
      </x:c>
      <x:c r="G101" t="str">
        <x:v>Warehouse</x:v>
      </x:c>
      <x:c r="H101" t="str">
        <x:v>รอสอบเทียบ</x:v>
      </x:c>
      <x:c r="I101" t="str">
        <x:v>รอสอบเทียบ</x:v>
      </x:c>
      <x:c r="J101" t="str">
        <x:v>ไม่มีสัญญา</x:v>
      </x:c>
      <x:c r="K101" t="str">
        <x:v>รอสอบเทียบก่อนพร้อมส่ง</x:v>
      </x:c>
      <x:c r="L101" t="str">
        <x:v>ไม่ได้เช่ายืม = รอสอบเทียบ</x:v>
      </x:c>
      <x:c r="M101" t="str">
        <x:f>IF(OR(H101="ใช้งานไม่ได้",H101="BROKEN",H101="Broken"),"ใช้งานไม่ได้",IF(OR(H101="ไม่พบในรายการ",H101="MISSING",H101="Missing"),"ไม่พบในรายการ",IF(OR(J101="เช่ายืม",J101="IN_USE",J101="IN-USE",H101="เช่ายืม"),"เช่ายืม",IF(H101="พร้อมส่ง","พร้อมส่ง","รอสอบเทียบ"))))</x:f>
        <x:v>รอสอบเทียบ</x:v>
      </x:c>
    </x:row>
    <x:row r="102">
      <x:c r="A102" t="str">
        <x:v>137148</x:v>
      </x:c>
      <x:c r="B102" t="str">
        <x:v>137148</x:v>
      </x:c>
      <x:c r="C102" t="str">
        <x:v>B.Braun</x:v>
      </x:c>
      <x:c r="D102" t="str">
        <x:v>Infusomat Space</x:v>
      </x:c>
      <x:c r="E102" t="str">
        <x:v>Infusomat Space</x:v>
      </x:c>
      <x:c r="F102" t="str">
        <x:v>BBRAUN_INFUSOMAT</x:v>
      </x:c>
      <x:c r="G102" t="str">
        <x:v>Warehouse</x:v>
      </x:c>
      <x:c r="H102" t="str">
        <x:v>รอสอบเทียบ</x:v>
      </x:c>
      <x:c r="I102" t="str">
        <x:v>รอสอบเทียบ</x:v>
      </x:c>
      <x:c r="J102" t="str">
        <x:v>ไม่มีสัญญา</x:v>
      </x:c>
      <x:c r="K102" t="str">
        <x:v>รอสอบเทียบก่อนพร้อมส่ง</x:v>
      </x:c>
      <x:c r="L102" t="str">
        <x:v>ไม่ได้เช่ายืม = รอสอบเทียบ</x:v>
      </x:c>
      <x:c r="M102" t="str">
        <x:f>IF(OR(H102="ใช้งานไม่ได้",H102="BROKEN",H102="Broken"),"ใช้งานไม่ได้",IF(OR(H102="ไม่พบในรายการ",H102="MISSING",H102="Missing"),"ไม่พบในรายการ",IF(OR(J102="เช่ายืม",J102="IN_USE",J102="IN-USE",H102="เช่ายืม"),"เช่ายืม",IF(H102="พร้อมส่ง","พร้อมส่ง","รอสอบเทียบ"))))</x:f>
        <x:v>รอสอบเทียบ</x:v>
      </x:c>
    </x:row>
    <x:row r="103">
      <x:c r="A103" t="str">
        <x:v>137472</x:v>
      </x:c>
      <x:c r="B103" t="str">
        <x:v>137472</x:v>
      </x:c>
      <x:c r="C103" t="str">
        <x:v>B.Braun</x:v>
      </x:c>
      <x:c r="D103" t="str">
        <x:v>Infusomat Space</x:v>
      </x:c>
      <x:c r="E103" t="str">
        <x:v>Infusomat Space</x:v>
      </x:c>
      <x:c r="F103" t="str">
        <x:v>BBRAUN_INFUSOMAT</x:v>
      </x:c>
      <x:c r="G103" t="str">
        <x:v>ABSOLUTE HEALTH CLINIC</x:v>
      </x:c>
      <x:c r="H103" t="str">
        <x:v>เช่ายืม</x:v>
      </x:c>
      <x:c r="I103" t="str">
        <x:v>พร้อมส่ง</x:v>
      </x:c>
      <x:c r="J103" t="str">
        <x:v>เช่ายืม</x:v>
      </x:c>
      <x:c r="K103" t="str">
        <x:v>อยู่ระหว่างเช่ายืม / เกินกำหนดคืน 90 วัน</x:v>
      </x:c>
      <x:c r="L103"/>
      <x:c r="M103" t="str">
        <x:f>IF(OR(H103="ใช้งานไม่ได้",H103="BROKEN",H103="Broken"),"ใช้งานไม่ได้",IF(OR(H103="ไม่พบในรายการ",H103="MISSING",H103="Missing"),"ไม่พบในรายการ",IF(OR(J103="เช่ายืม",J103="IN_USE",J103="IN-USE",H103="เช่ายืม"),"เช่ายืม",IF(H103="พร้อมส่ง","พร้อมส่ง","รอสอบเทียบ"))))</x:f>
        <x:v>เช่ายืม</x:v>
      </x:c>
    </x:row>
    <x:row r="104">
      <x:c r="A104" t="str">
        <x:v>137477</x:v>
      </x:c>
      <x:c r="B104" t="str">
        <x:v>137477</x:v>
      </x:c>
      <x:c r="C104" t="str">
        <x:v>B.Braun</x:v>
      </x:c>
      <x:c r="D104" t="str">
        <x:v>Infusomat Space</x:v>
      </x:c>
      <x:c r="E104" t="str">
        <x:v>Infusomat Space</x:v>
      </x:c>
      <x:c r="F104" t="str">
        <x:v>BBRAUN_INFUSOMAT</x:v>
      </x:c>
      <x:c r="G104" t="str">
        <x:v>Warehouse</x:v>
      </x:c>
      <x:c r="H104" t="str">
        <x:v>รอสอบเทียบ</x:v>
      </x:c>
      <x:c r="I104" t="str">
        <x:v>รอสอบเทียบ</x:v>
      </x:c>
      <x:c r="J104" t="str">
        <x:v>ไม่มีสัญญา</x:v>
      </x:c>
      <x:c r="K104" t="str">
        <x:v>รอสอบเทียบก่อนพร้อมส่ง</x:v>
      </x:c>
      <x:c r="L104" t="str">
        <x:v>ไม่ได้เช่ายืม = รอสอบเทียบ</x:v>
      </x:c>
      <x:c r="M104" t="str">
        <x:f>IF(OR(H104="ใช้งานไม่ได้",H104="BROKEN",H104="Broken"),"ใช้งานไม่ได้",IF(OR(H104="ไม่พบในรายการ",H104="MISSING",H104="Missing"),"ไม่พบในรายการ",IF(OR(J104="เช่ายืม",J104="IN_USE",J104="IN-USE",H104="เช่ายืม"),"เช่ายืม",IF(H104="พร้อมส่ง","พร้อมส่ง","รอสอบเทียบ"))))</x:f>
        <x:v>รอสอบเทียบ</x:v>
      </x:c>
    </x:row>
    <x:row r="105">
      <x:c r="A105" t="str">
        <x:v>137538</x:v>
      </x:c>
      <x:c r="B105" t="str">
        <x:v>137538</x:v>
      </x:c>
      <x:c r="C105" t="str">
        <x:v>B.Braun</x:v>
      </x:c>
      <x:c r="D105" t="str">
        <x:v>Infusomat Space</x:v>
      </x:c>
      <x:c r="E105" t="str">
        <x:v>Infusomat Space</x:v>
      </x:c>
      <x:c r="F105" t="str">
        <x:v>BBRAUN_INFUSOMAT</x:v>
      </x:c>
      <x:c r="G105" t="str">
        <x:v>Warehouse</x:v>
      </x:c>
      <x:c r="H105" t="str">
        <x:v>รอสอบเทียบ</x:v>
      </x:c>
      <x:c r="I105" t="str">
        <x:v>รอสอบเทียบ</x:v>
      </x:c>
      <x:c r="J105" t="str">
        <x:v>ไม่มีสัญญา</x:v>
      </x:c>
      <x:c r="K105" t="str">
        <x:v>รอสอบเทียบก่อนพร้อมส่ง</x:v>
      </x:c>
      <x:c r="L105" t="str">
        <x:v>ไม่ได้เช่ายืม = รอสอบเทียบ</x:v>
      </x:c>
      <x:c r="M105" t="str">
        <x:f>IF(OR(H105="ใช้งานไม่ได้",H105="BROKEN",H105="Broken"),"ใช้งานไม่ได้",IF(OR(H105="ไม่พบในรายการ",H105="MISSING",H105="Missing"),"ไม่พบในรายการ",IF(OR(J105="เช่ายืม",J105="IN_USE",J105="IN-USE",H105="เช่ายืม"),"เช่ายืม",IF(H105="พร้อมส่ง","พร้อมส่ง","รอสอบเทียบ"))))</x:f>
        <x:v>รอสอบเทียบ</x:v>
      </x:c>
    </x:row>
    <x:row r="106">
      <x:c r="A106" t="str">
        <x:v>137544</x:v>
      </x:c>
      <x:c r="B106" t="str">
        <x:v>137544</x:v>
      </x:c>
      <x:c r="C106" t="str">
        <x:v>B.Braun</x:v>
      </x:c>
      <x:c r="D106" t="str">
        <x:v>Infusomat Space</x:v>
      </x:c>
      <x:c r="E106" t="str">
        <x:v>Infusomat Space</x:v>
      </x:c>
      <x:c r="F106" t="str">
        <x:v>BBRAUN_INFUSOMAT</x:v>
      </x:c>
      <x:c r="G106" t="str">
        <x:v>Warehouse</x:v>
      </x:c>
      <x:c r="H106" t="str">
        <x:v>รอสอบเทียบ</x:v>
      </x:c>
      <x:c r="I106" t="str">
        <x:v>รอสอบเทียบ</x:v>
      </x:c>
      <x:c r="J106" t="str">
        <x:v>ไม่มีสัญญา</x:v>
      </x:c>
      <x:c r="K106" t="str">
        <x:v>รอสอบเทียบก่อนพร้อมส่ง</x:v>
      </x:c>
      <x:c r="L106" t="str">
        <x:v>ไม่ได้เช่ายืม = รอสอบเทียบ</x:v>
      </x:c>
      <x:c r="M106" t="str">
        <x:f>IF(OR(H106="ใช้งานไม่ได้",H106="BROKEN",H106="Broken"),"ใช้งานไม่ได้",IF(OR(H106="ไม่พบในรายการ",H106="MISSING",H106="Missing"),"ไม่พบในรายการ",IF(OR(J106="เช่ายืม",J106="IN_USE",J106="IN-USE",H106="เช่ายืม"),"เช่ายืม",IF(H106="พร้อมส่ง","พร้อมส่ง","รอสอบเทียบ"))))</x:f>
        <x:v>รอสอบเทียบ</x:v>
      </x:c>
    </x:row>
    <x:row r="107">
      <x:c r="A107" t="str">
        <x:v>137580</x:v>
      </x:c>
      <x:c r="B107" t="str">
        <x:v>137580</x:v>
      </x:c>
      <x:c r="C107" t="str">
        <x:v>B.Braun</x:v>
      </x:c>
      <x:c r="D107" t="str">
        <x:v>Infusomat Space</x:v>
      </x:c>
      <x:c r="E107" t="str">
        <x:v>Infusomat Space</x:v>
      </x:c>
      <x:c r="F107" t="str">
        <x:v>BBRAUN_INFUSOMAT</x:v>
      </x:c>
      <x:c r="G107" t="str">
        <x:v>Warehouse</x:v>
      </x:c>
      <x:c r="H107" t="str">
        <x:v>รอสอบเทียบ</x:v>
      </x:c>
      <x:c r="I107" t="str">
        <x:v>รอสอบเทียบ</x:v>
      </x:c>
      <x:c r="J107" t="str">
        <x:v>ไม่มีสัญญา</x:v>
      </x:c>
      <x:c r="K107" t="str">
        <x:v>รอสอบเทียบก่อนพร้อมส่ง</x:v>
      </x:c>
      <x:c r="L107" t="str">
        <x:v>ไม่ได้เช่ายืม = รอสอบเทียบ</x:v>
      </x:c>
      <x:c r="M107" t="str">
        <x:f>IF(OR(H107="ใช้งานไม่ได้",H107="BROKEN",H107="Broken"),"ใช้งานไม่ได้",IF(OR(H107="ไม่พบในรายการ",H107="MISSING",H107="Missing"),"ไม่พบในรายการ",IF(OR(J107="เช่ายืม",J107="IN_USE",J107="IN-USE",H107="เช่ายืม"),"เช่ายืม",IF(H107="พร้อมส่ง","พร้อมส่ง","รอสอบเทียบ"))))</x:f>
        <x:v>รอสอบเทียบ</x:v>
      </x:c>
    </x:row>
    <x:row r="108">
      <x:c r="A108" t="str">
        <x:v>SN_137652</x:v>
      </x:c>
      <x:c r="B108" t="str">
        <x:v>137652</x:v>
      </x:c>
      <x:c r="C108" t="str">
        <x:v>B.Braun</x:v>
      </x:c>
      <x:c r="D108" t="str">
        <x:v>Infusomat Space</x:v>
      </x:c>
      <x:c r="E108" t="str">
        <x:v>Infusomat Space</x:v>
      </x:c>
      <x:c r="F108" t="str">
        <x:v>BBRAUN_INFUSOMAT</x:v>
      </x:c>
      <x:c r="G108" t="str">
        <x:v>Warehouse</x:v>
      </x:c>
      <x:c r="H108" t="str">
        <x:v>รอสอบเทียบ</x:v>
      </x:c>
      <x:c r="I108" t="str">
        <x:v>รอสอบเทียบ</x:v>
      </x:c>
      <x:c r="J108" t="str">
        <x:v>ไม่มีสัญญา</x:v>
      </x:c>
      <x:c r="K108" t="str">
        <x:v>รอสอบเทียบก่อนพร้อมส่ง</x:v>
      </x:c>
      <x:c r="L108" t="str">
        <x:v>ไม่ได้เช่ายืม = รอสอบเทียบ</x:v>
      </x:c>
      <x:c r="M108" t="str">
        <x:f>IF(OR(H108="ใช้งานไม่ได้",H108="BROKEN",H108="Broken"),"ใช้งานไม่ได้",IF(OR(H108="ไม่พบในรายการ",H108="MISSING",H108="Missing"),"ไม่พบในรายการ",IF(OR(J108="เช่ายืม",J108="IN_USE",J108="IN-USE",H108="เช่ายืม"),"เช่ายืม",IF(H108="พร้อมส่ง","พร้อมส่ง","รอสอบเทียบ"))))</x:f>
        <x:v>รอสอบเทียบ</x:v>
      </x:c>
    </x:row>
    <x:row r="109">
      <x:c r="A109" t="str">
        <x:v>137663</x:v>
      </x:c>
      <x:c r="B109" t="str">
        <x:v>137663</x:v>
      </x:c>
      <x:c r="C109" t="str">
        <x:v>B.Braun</x:v>
      </x:c>
      <x:c r="D109" t="str">
        <x:v>Infusomat Space</x:v>
      </x:c>
      <x:c r="E109" t="str">
        <x:v>Infusomat Space</x:v>
      </x:c>
      <x:c r="F109" t="str">
        <x:v>BBRAUN_INFUSOMAT</x:v>
      </x:c>
      <x:c r="G109" t="str">
        <x:v>Warehouse</x:v>
      </x:c>
      <x:c r="H109" t="str">
        <x:v>รอสอบเทียบ</x:v>
      </x:c>
      <x:c r="I109" t="str">
        <x:v>รอสอบเทียบ</x:v>
      </x:c>
      <x:c r="J109" t="str">
        <x:v>ไม่มีสัญญา</x:v>
      </x:c>
      <x:c r="K109" t="str">
        <x:v>รอสอบเทียบก่อนพร้อมส่ง</x:v>
      </x:c>
      <x:c r="L109" t="str">
        <x:v>ไม่ได้เช่ายืม = รอสอบเทียบ</x:v>
      </x:c>
      <x:c r="M109" t="str">
        <x:f>IF(OR(H109="ใช้งานไม่ได้",H109="BROKEN",H109="Broken"),"ใช้งานไม่ได้",IF(OR(H109="ไม่พบในรายการ",H109="MISSING",H109="Missing"),"ไม่พบในรายการ",IF(OR(J109="เช่ายืม",J109="IN_USE",J109="IN-USE",H109="เช่ายืม"),"เช่ายืม",IF(H109="พร้อมส่ง","พร้อมส่ง","รอสอบเทียบ"))))</x:f>
        <x:v>รอสอบเทียบ</x:v>
      </x:c>
    </x:row>
    <x:row r="110">
      <x:c r="A110" t="str">
        <x:v>137769</x:v>
      </x:c>
      <x:c r="B110" t="str">
        <x:v>137769</x:v>
      </x:c>
      <x:c r="C110" t="str">
        <x:v>B.Braun</x:v>
      </x:c>
      <x:c r="D110" t="str">
        <x:v>Infusomat Space</x:v>
      </x:c>
      <x:c r="E110" t="str">
        <x:v>Infusomat Space</x:v>
      </x:c>
      <x:c r="F110" t="str">
        <x:v>BBRAUN_INFUSOMAT</x:v>
      </x:c>
      <x:c r="G110" t="str">
        <x:v>Warehouse</x:v>
      </x:c>
      <x:c r="H110" t="str">
        <x:v>รอสอบเทียบ</x:v>
      </x:c>
      <x:c r="I110" t="str">
        <x:v>รอสอบเทียบ</x:v>
      </x:c>
      <x:c r="J110" t="str">
        <x:v>ไม่มีสัญญา</x:v>
      </x:c>
      <x:c r="K110" t="str">
        <x:v>รอสอบเทียบก่อนพร้อมส่ง</x:v>
      </x:c>
      <x:c r="L110" t="str">
        <x:v>ไม่ได้เช่ายืม = รอสอบเทียบ</x:v>
      </x:c>
      <x:c r="M110" t="str">
        <x:f>IF(OR(H110="ใช้งานไม่ได้",H110="BROKEN",H110="Broken"),"ใช้งานไม่ได้",IF(OR(H110="ไม่พบในรายการ",H110="MISSING",H110="Missing"),"ไม่พบในรายการ",IF(OR(J110="เช่ายืม",J110="IN_USE",J110="IN-USE",H110="เช่ายืม"),"เช่ายืม",IF(H110="พร้อมส่ง","พร้อมส่ง","รอสอบเทียบ"))))</x:f>
        <x:v>รอสอบเทียบ</x:v>
      </x:c>
    </x:row>
    <x:row r="111">
      <x:c r="A111" t="str">
        <x:v>137815</x:v>
      </x:c>
      <x:c r="B111" t="str">
        <x:v>137815</x:v>
      </x:c>
      <x:c r="C111" t="str">
        <x:v>B.Braun</x:v>
      </x:c>
      <x:c r="D111" t="str">
        <x:v>Infusomat Space</x:v>
      </x:c>
      <x:c r="E111" t="str">
        <x:v>Infusomat Space</x:v>
      </x:c>
      <x:c r="F111" t="str">
        <x:v>BBRAUN_INFUSOMAT</x:v>
      </x:c>
      <x:c r="G111" t="str">
        <x:v>Warehouse</x:v>
      </x:c>
      <x:c r="H111" t="str">
        <x:v>รอสอบเทียบ</x:v>
      </x:c>
      <x:c r="I111" t="str">
        <x:v>รอสอบเทียบ</x:v>
      </x:c>
      <x:c r="J111" t="str">
        <x:v>ไม่มีสัญญา</x:v>
      </x:c>
      <x:c r="K111" t="str">
        <x:v>รอสอบเทียบก่อนพร้อมส่ง</x:v>
      </x:c>
      <x:c r="L111" t="str">
        <x:v>ไม่ได้เช่ายืม = รอสอบเทียบ</x:v>
      </x:c>
      <x:c r="M111" t="str">
        <x:f>IF(OR(H111="ใช้งานไม่ได้",H111="BROKEN",H111="Broken"),"ใช้งานไม่ได้",IF(OR(H111="ไม่พบในรายการ",H111="MISSING",H111="Missing"),"ไม่พบในรายการ",IF(OR(J111="เช่ายืม",J111="IN_USE",J111="IN-USE",H111="เช่ายืม"),"เช่ายืม",IF(H111="พร้อมส่ง","พร้อมส่ง","รอสอบเทียบ"))))</x:f>
        <x:v>รอสอบเทียบ</x:v>
      </x:c>
    </x:row>
    <x:row r="112">
      <x:c r="A112" t="str">
        <x:v>137854</x:v>
      </x:c>
      <x:c r="B112" t="str">
        <x:v>137854</x:v>
      </x:c>
      <x:c r="C112" t="str">
        <x:v>B.Braun</x:v>
      </x:c>
      <x:c r="D112" t="str">
        <x:v>Infusomat Space</x:v>
      </x:c>
      <x:c r="E112" t="str">
        <x:v>Infusomat Space</x:v>
      </x:c>
      <x:c r="F112" t="str">
        <x:v>BBRAUN_INFUSOMAT</x:v>
      </x:c>
      <x:c r="G112" t="str">
        <x:v>Warehouse</x:v>
      </x:c>
      <x:c r="H112" t="str">
        <x:v>รอสอบเทียบ</x:v>
      </x:c>
      <x:c r="I112" t="str">
        <x:v>รอสอบเทียบ</x:v>
      </x:c>
      <x:c r="J112" t="str">
        <x:v>ไม่มีสัญญา</x:v>
      </x:c>
      <x:c r="K112" t="str">
        <x:v>รอสอบเทียบก่อนพร้อมส่ง</x:v>
      </x:c>
      <x:c r="L112" t="str">
        <x:v>ไม่ได้เช่ายืม = รอสอบเทียบ</x:v>
      </x:c>
      <x:c r="M112" t="str">
        <x:f>IF(OR(H112="ใช้งานไม่ได้",H112="BROKEN",H112="Broken"),"ใช้งานไม่ได้",IF(OR(H112="ไม่พบในรายการ",H112="MISSING",H112="Missing"),"ไม่พบในรายการ",IF(OR(J112="เช่ายืม",J112="IN_USE",J112="IN-USE",H112="เช่ายืม"),"เช่ายืม",IF(H112="พร้อมส่ง","พร้อมส่ง","รอสอบเทียบ"))))</x:f>
        <x:v>รอสอบเทียบ</x:v>
      </x:c>
    </x:row>
    <x:row r="113">
      <x:c r="A113" t="str">
        <x:v>137870</x:v>
      </x:c>
      <x:c r="B113" t="str">
        <x:v>137870</x:v>
      </x:c>
      <x:c r="C113" t="str">
        <x:v>B.Braun</x:v>
      </x:c>
      <x:c r="D113" t="str">
        <x:v>Infusomat Space</x:v>
      </x:c>
      <x:c r="E113" t="str">
        <x:v>Infusomat Space</x:v>
      </x:c>
      <x:c r="F113" t="str">
        <x:v>BBRAUN_INFUSOMAT</x:v>
      </x:c>
      <x:c r="G113" t="str">
        <x:v>ABSOLUTE HEALTH CLINIC</x:v>
      </x:c>
      <x:c r="H113" t="str">
        <x:v>เช่ายืม</x:v>
      </x:c>
      <x:c r="I113" t="str">
        <x:v>พร้อมส่ง</x:v>
      </x:c>
      <x:c r="J113" t="str">
        <x:v>เช่ายืม</x:v>
      </x:c>
      <x:c r="K113" t="str">
        <x:v>อยู่ระหว่างเช่ายืม / เกินกำหนดคืน 90 วัน</x:v>
      </x:c>
      <x:c r="L113"/>
      <x:c r="M113" t="str">
        <x:f>IF(OR(H113="ใช้งานไม่ได้",H113="BROKEN",H113="Broken"),"ใช้งานไม่ได้",IF(OR(H113="ไม่พบในรายการ",H113="MISSING",H113="Missing"),"ไม่พบในรายการ",IF(OR(J113="เช่ายืม",J113="IN_USE",J113="IN-USE",H113="เช่ายืม"),"เช่ายืม",IF(H113="พร้อมส่ง","พร้อมส่ง","รอสอบเทียบ"))))</x:f>
        <x:v>เช่ายืม</x:v>
      </x:c>
    </x:row>
    <x:row r="114">
      <x:c r="A114" t="str">
        <x:v>137886</x:v>
      </x:c>
      <x:c r="B114" t="str">
        <x:v>137886</x:v>
      </x:c>
      <x:c r="C114" t="str">
        <x:v>B.Braun</x:v>
      </x:c>
      <x:c r="D114" t="str">
        <x:v>Infusomat Space</x:v>
      </x:c>
      <x:c r="E114" t="str">
        <x:v>Infusomat Space</x:v>
      </x:c>
      <x:c r="F114" t="str">
        <x:v>BBRAUN_INFUSOMAT</x:v>
      </x:c>
      <x:c r="G114" t="str">
        <x:v>Warehouse</x:v>
      </x:c>
      <x:c r="H114" t="str">
        <x:v>รอสอบเทียบ</x:v>
      </x:c>
      <x:c r="I114" t="str">
        <x:v>รอสอบเทียบ</x:v>
      </x:c>
      <x:c r="J114" t="str">
        <x:v>ไม่มีสัญญา</x:v>
      </x:c>
      <x:c r="K114" t="str">
        <x:v>รอสอบเทียบก่อนพร้อมส่ง</x:v>
      </x:c>
      <x:c r="L114" t="str">
        <x:v>ไม่ได้เช่ายืม = รอสอบเทียบ</x:v>
      </x:c>
      <x:c r="M114" t="str">
        <x:f>IF(OR(H114="ใช้งานไม่ได้",H114="BROKEN",H114="Broken"),"ใช้งานไม่ได้",IF(OR(H114="ไม่พบในรายการ",H114="MISSING",H114="Missing"),"ไม่พบในรายการ",IF(OR(J114="เช่ายืม",J114="IN_USE",J114="IN-USE",H114="เช่ายืม"),"เช่ายืม",IF(H114="พร้อมส่ง","พร้อมส่ง","รอสอบเทียบ"))))</x:f>
        <x:v>รอสอบเทียบ</x:v>
      </x:c>
    </x:row>
    <x:row r="115">
      <x:c r="A115" t="str">
        <x:v>138035</x:v>
      </x:c>
      <x:c r="B115" t="str">
        <x:v>138035</x:v>
      </x:c>
      <x:c r="C115" t="str">
        <x:v>B.Braun</x:v>
      </x:c>
      <x:c r="D115" t="str">
        <x:v>Infusomat Space</x:v>
      </x:c>
      <x:c r="E115" t="str">
        <x:v>Infusomat Space</x:v>
      </x:c>
      <x:c r="F115" t="str">
        <x:v>BBRAUN_INFUSOMAT</x:v>
      </x:c>
      <x:c r="G115" t="str">
        <x:v>Warehouse</x:v>
      </x:c>
      <x:c r="H115" t="str">
        <x:v>รอสอบเทียบ</x:v>
      </x:c>
      <x:c r="I115" t="str">
        <x:v>รอสอบเทียบ</x:v>
      </x:c>
      <x:c r="J115" t="str">
        <x:v>ไม่มีสัญญา</x:v>
      </x:c>
      <x:c r="K115" t="str">
        <x:v>รอสอบเทียบก่อนพร้อมส่ง</x:v>
      </x:c>
      <x:c r="L115" t="str">
        <x:v>ไม่ได้เช่ายืม = รอสอบเทียบ</x:v>
      </x:c>
      <x:c r="M115" t="str">
        <x:f>IF(OR(H115="ใช้งานไม่ได้",H115="BROKEN",H115="Broken"),"ใช้งานไม่ได้",IF(OR(H115="ไม่พบในรายการ",H115="MISSING",H115="Missing"),"ไม่พบในรายการ",IF(OR(J115="เช่ายืม",J115="IN_USE",J115="IN-USE",H115="เช่ายืม"),"เช่ายืม",IF(H115="พร้อมส่ง","พร้อมส่ง","รอสอบเทียบ"))))</x:f>
        <x:v>รอสอบเทียบ</x:v>
      </x:c>
    </x:row>
    <x:row r="116">
      <x:c r="A116" t="str">
        <x:v>138070</x:v>
      </x:c>
      <x:c r="B116" t="str">
        <x:v>138070</x:v>
      </x:c>
      <x:c r="C116" t="str">
        <x:v>B.Braun</x:v>
      </x:c>
      <x:c r="D116" t="str">
        <x:v>Infusomat Space</x:v>
      </x:c>
      <x:c r="E116" t="str">
        <x:v>Infusomat Space</x:v>
      </x:c>
      <x:c r="F116" t="str">
        <x:v>BBRAUN_INFUSOMAT</x:v>
      </x:c>
      <x:c r="G116" t="str">
        <x:v>Warehouse</x:v>
      </x:c>
      <x:c r="H116" t="str">
        <x:v>รอสอบเทียบ</x:v>
      </x:c>
      <x:c r="I116" t="str">
        <x:v>รอสอบเทียบ</x:v>
      </x:c>
      <x:c r="J116" t="str">
        <x:v>ไม่มีสัญญา</x:v>
      </x:c>
      <x:c r="K116" t="str">
        <x:v>รอสอบเทียบก่อนพร้อมส่ง</x:v>
      </x:c>
      <x:c r="L116" t="str">
        <x:v>ไม่ได้เช่ายืม = รอสอบเทียบ</x:v>
      </x:c>
      <x:c r="M116" t="str">
        <x:f>IF(OR(H116="ใช้งานไม่ได้",H116="BROKEN",H116="Broken"),"ใช้งานไม่ได้",IF(OR(H116="ไม่พบในรายการ",H116="MISSING",H116="Missing"),"ไม่พบในรายการ",IF(OR(J116="เช่ายืม",J116="IN_USE",J116="IN-USE",H116="เช่ายืม"),"เช่ายืม",IF(H116="พร้อมส่ง","พร้อมส่ง","รอสอบเทียบ"))))</x:f>
        <x:v>รอสอบเทียบ</x:v>
      </x:c>
    </x:row>
    <x:row r="117">
      <x:c r="A117" t="str">
        <x:v>138187</x:v>
      </x:c>
      <x:c r="B117" t="str">
        <x:v>NHBB0212</x:v>
      </x:c>
      <x:c r="C117" t="str">
        <x:v>B.Braun</x:v>
      </x:c>
      <x:c r="D117" t="str">
        <x:v>Infusomat Space</x:v>
      </x:c>
      <x:c r="E117" t="str">
        <x:v>Infusomat Space</x:v>
      </x:c>
      <x:c r="F117" t="str">
        <x:v>BBRAUN_INFUSOMAT</x:v>
      </x:c>
      <x:c r="G117" t="str">
        <x:v>รับคืนจาก Viva</x:v>
      </x:c>
      <x:c r="H117" t="str">
        <x:v>เช่ายืม</x:v>
      </x:c>
      <x:c r="I117" t="str">
        <x:v>พร้อมส่ง</x:v>
      </x:c>
      <x:c r="J117" t="str">
        <x:v>เช่ายืม</x:v>
      </x:c>
      <x:c r="K117" t="str">
        <x:v>No action</x:v>
      </x:c>
      <x:c r="L117"/>
      <x:c r="M117" t="str">
        <x:f>IF(OR(H117="ใช้งานไม่ได้",H117="BROKEN",H117="Broken"),"ใช้งานไม่ได้",IF(OR(H117="ไม่พบในรายการ",H117="MISSING",H117="Missing"),"ไม่พบในรายการ",IF(OR(J117="เช่ายืม",J117="IN_USE",J117="IN-USE",H117="เช่ายืม"),"เช่ายืม",IF(H117="พร้อมส่ง","พร้อมส่ง","รอสอบเทียบ"))))</x:f>
        <x:v>เช่ายืม</x:v>
      </x:c>
    </x:row>
    <x:row r="118">
      <x:c r="A118" t="str">
        <x:v>138284</x:v>
      </x:c>
      <x:c r="B118" t="str">
        <x:v>138284</x:v>
      </x:c>
      <x:c r="C118" t="str">
        <x:v>B.Braun</x:v>
      </x:c>
      <x:c r="D118" t="str">
        <x:v>Infusomat Space</x:v>
      </x:c>
      <x:c r="E118" t="str">
        <x:v>Infusomat Space</x:v>
      </x:c>
      <x:c r="F118" t="str">
        <x:v>BBRAUN_INFUSOMAT</x:v>
      </x:c>
      <x:c r="G118" t="str">
        <x:v>Warehouse</x:v>
      </x:c>
      <x:c r="H118" t="str">
        <x:v>รอสอบเทียบ</x:v>
      </x:c>
      <x:c r="I118" t="str">
        <x:v>รอสอบเทียบ</x:v>
      </x:c>
      <x:c r="J118" t="str">
        <x:v>ไม่มีสัญญา</x:v>
      </x:c>
      <x:c r="K118" t="str">
        <x:v>รอสอบเทียบก่อนพร้อมส่ง</x:v>
      </x:c>
      <x:c r="L118" t="str">
        <x:v>ไม่ได้เช่ายืม = รอสอบเทียบ</x:v>
      </x:c>
      <x:c r="M118" t="str">
        <x:f>IF(OR(H118="ใช้งานไม่ได้",H118="BROKEN",H118="Broken"),"ใช้งานไม่ได้",IF(OR(H118="ไม่พบในรายการ",H118="MISSING",H118="Missing"),"ไม่พบในรายการ",IF(OR(J118="เช่ายืม",J118="IN_USE",J118="IN-USE",H118="เช่ายืม"),"เช่ายืม",IF(H118="พร้อมส่ง","พร้อมส่ง","รอสอบเทียบ"))))</x:f>
        <x:v>รอสอบเทียบ</x:v>
      </x:c>
    </x:row>
    <x:row r="119">
      <x:c r="A119" t="str">
        <x:v>138344</x:v>
      </x:c>
      <x:c r="B119" t="str">
        <x:v>138344</x:v>
      </x:c>
      <x:c r="C119" t="str">
        <x:v>B.Braun</x:v>
      </x:c>
      <x:c r="D119" t="str">
        <x:v>Infusomat Space</x:v>
      </x:c>
      <x:c r="E119" t="str">
        <x:v>Infusomat Space</x:v>
      </x:c>
      <x:c r="F119" t="str">
        <x:v>BBRAUN_INFUSOMAT</x:v>
      </x:c>
      <x:c r="G119" t="str">
        <x:v>Warehouse</x:v>
      </x:c>
      <x:c r="H119" t="str">
        <x:v>รอสอบเทียบ</x:v>
      </x:c>
      <x:c r="I119" t="str">
        <x:v>รอสอบเทียบ</x:v>
      </x:c>
      <x:c r="J119" t="str">
        <x:v>ไม่มีสัญญา</x:v>
      </x:c>
      <x:c r="K119" t="str">
        <x:v>รอสอบเทียบก่อนพร้อมส่ง</x:v>
      </x:c>
      <x:c r="L119" t="str">
        <x:v>ไม่ได้เช่ายืม = รอสอบเทียบ</x:v>
      </x:c>
      <x:c r="M119" t="str">
        <x:f>IF(OR(H119="ใช้งานไม่ได้",H119="BROKEN",H119="Broken"),"ใช้งานไม่ได้",IF(OR(H119="ไม่พบในรายการ",H119="MISSING",H119="Missing"),"ไม่พบในรายการ",IF(OR(J119="เช่ายืม",J119="IN_USE",J119="IN-USE",H119="เช่ายืม"),"เช่ายืม",IF(H119="พร้อมส่ง","พร้อมส่ง","รอสอบเทียบ"))))</x:f>
        <x:v>รอสอบเทียบ</x:v>
      </x:c>
    </x:row>
    <x:row r="120">
      <x:c r="A120" t="str">
        <x:v>138515</x:v>
      </x:c>
      <x:c r="B120" t="str">
        <x:v>NHBB0023</x:v>
      </x:c>
      <x:c r="C120" t="str">
        <x:v>B.Braun</x:v>
      </x:c>
      <x:c r="D120" t="str">
        <x:v>Infusomat Space</x:v>
      </x:c>
      <x:c r="E120" t="str">
        <x:v>Infusomat Space</x:v>
      </x:c>
      <x:c r="F120" t="str">
        <x:v>BBRAUN_INFUSOMAT</x:v>
      </x:c>
      <x:c r="G120" t="str">
        <x:v>รพ.เชียงรายประชานุเคราะห์</x:v>
      </x:c>
      <x:c r="H120" t="str">
        <x:v>เช่ายืม</x:v>
      </x:c>
      <x:c r="I120" t="str">
        <x:v>พร้อมส่ง</x:v>
      </x:c>
      <x:c r="J120" t="str">
        <x:v>เช่ายืม</x:v>
      </x:c>
      <x:c r="K120" t="str">
        <x:v>No action</x:v>
      </x:c>
      <x:c r="L120"/>
      <x:c r="M120" t="str">
        <x:f>IF(OR(H120="ใช้งานไม่ได้",H120="BROKEN",H120="Broken"),"ใช้งานไม่ได้",IF(OR(H120="ไม่พบในรายการ",H120="MISSING",H120="Missing"),"ไม่พบในรายการ",IF(OR(J120="เช่ายืม",J120="IN_USE",J120="IN-USE",H120="เช่ายืม"),"เช่ายืม",IF(H120="พร้อมส่ง","พร้อมส่ง","รอสอบเทียบ"))))</x:f>
        <x:v>เช่ายืม</x:v>
      </x:c>
    </x:row>
    <x:row r="121">
      <x:c r="A121" t="str">
        <x:v>138601</x:v>
      </x:c>
      <x:c r="B121" t="str">
        <x:v>NHBB0464</x:v>
      </x:c>
      <x:c r="C121" t="str">
        <x:v>B.Braun</x:v>
      </x:c>
      <x:c r="D121" t="str">
        <x:v>Infusomat Space</x:v>
      </x:c>
      <x:c r="E121" t="str">
        <x:v>Infusomat Space</x:v>
      </x:c>
      <x:c r="F121" t="str">
        <x:v>BBRAUN_INFUSOMAT</x:v>
      </x:c>
      <x:c r="G121" t="str">
        <x:v>รพ.วันเวลา</x:v>
      </x:c>
      <x:c r="H121" t="str">
        <x:v>เช่ายืม</x:v>
      </x:c>
      <x:c r="I121" t="str">
        <x:v>พร้อมส่ง</x:v>
      </x:c>
      <x:c r="J121" t="str">
        <x:v>เช่ายืม</x:v>
      </x:c>
      <x:c r="K121" t="str">
        <x:v>No action</x:v>
      </x:c>
      <x:c r="L121"/>
      <x:c r="M121" t="str">
        <x:f>IF(OR(H121="ใช้งานไม่ได้",H121="BROKEN",H121="Broken"),"ใช้งานไม่ได้",IF(OR(H121="ไม่พบในรายการ",H121="MISSING",H121="Missing"),"ไม่พบในรายการ",IF(OR(J121="เช่ายืม",J121="IN_USE",J121="IN-USE",H121="เช่ายืม"),"เช่ายืม",IF(H121="พร้อมส่ง","พร้อมส่ง","รอสอบเทียบ"))))</x:f>
        <x:v>เช่ายืม</x:v>
      </x:c>
    </x:row>
    <x:row r="122">
      <x:c r="A122" t="str">
        <x:v>138832</x:v>
      </x:c>
      <x:c r="B122" t="str">
        <x:v>138832</x:v>
      </x:c>
      <x:c r="C122" t="str">
        <x:v>B.Braun</x:v>
      </x:c>
      <x:c r="D122" t="str">
        <x:v>Infusomat Space</x:v>
      </x:c>
      <x:c r="E122" t="str">
        <x:v>Infusomat Space</x:v>
      </x:c>
      <x:c r="F122" t="str">
        <x:v>BBRAUN_INFUSOMAT</x:v>
      </x:c>
      <x:c r="G122" t="str">
        <x:v>ABSOLUTE HEALTH CLINIC</x:v>
      </x:c>
      <x:c r="H122" t="str">
        <x:v>เช่ายืม</x:v>
      </x:c>
      <x:c r="I122" t="str">
        <x:v>พร้อมส่ง</x:v>
      </x:c>
      <x:c r="J122" t="str">
        <x:v>เช่ายืม</x:v>
      </x:c>
      <x:c r="K122" t="str">
        <x:v>อยู่ระหว่างเช่ายืม / เกินกำหนดคืน 90 วัน</x:v>
      </x:c>
      <x:c r="L122"/>
      <x:c r="M122" t="str">
        <x:f>IF(OR(H122="ใช้งานไม่ได้",H122="BROKEN",H122="Broken"),"ใช้งานไม่ได้",IF(OR(H122="ไม่พบในรายการ",H122="MISSING",H122="Missing"),"ไม่พบในรายการ",IF(OR(J122="เช่ายืม",J122="IN_USE",J122="IN-USE",H122="เช่ายืม"),"เช่ายืม",IF(H122="พร้อมส่ง","พร้อมส่ง","รอสอบเทียบ"))))</x:f>
        <x:v>เช่ายืม</x:v>
      </x:c>
    </x:row>
    <x:row r="123">
      <x:c r="A123" t="str">
        <x:v>138922</x:v>
      </x:c>
      <x:c r="B123" t="str">
        <x:v>138922</x:v>
      </x:c>
      <x:c r="C123" t="str">
        <x:v>B.Braun</x:v>
      </x:c>
      <x:c r="D123" t="str">
        <x:v>Infusomat Space</x:v>
      </x:c>
      <x:c r="E123" t="str">
        <x:v>Infusomat Space</x:v>
      </x:c>
      <x:c r="F123" t="str">
        <x:v>BBRAUN_INFUSOMAT</x:v>
      </x:c>
      <x:c r="G123" t="str">
        <x:v>Warehouse</x:v>
      </x:c>
      <x:c r="H123" t="str">
        <x:v>รอสอบเทียบ</x:v>
      </x:c>
      <x:c r="I123" t="str">
        <x:v>รอสอบเทียบ</x:v>
      </x:c>
      <x:c r="J123" t="str">
        <x:v>ไม่มีสัญญา</x:v>
      </x:c>
      <x:c r="K123" t="str">
        <x:v>รอสอบเทียบก่อนพร้อมส่ง</x:v>
      </x:c>
      <x:c r="L123" t="str">
        <x:v>ไม่ได้เช่ายืม = รอสอบเทียบ</x:v>
      </x:c>
      <x:c r="M123" t="str">
        <x:f>IF(OR(H123="ใช้งานไม่ได้",H123="BROKEN",H123="Broken"),"ใช้งานไม่ได้",IF(OR(H123="ไม่พบในรายการ",H123="MISSING",H123="Missing"),"ไม่พบในรายการ",IF(OR(J123="เช่ายืม",J123="IN_USE",J123="IN-USE",H123="เช่ายืม"),"เช่ายืม",IF(H123="พร้อมส่ง","พร้อมส่ง","รอสอบเทียบ"))))</x:f>
        <x:v>รอสอบเทียบ</x:v>
      </x:c>
    </x:row>
    <x:row r="124">
      <x:c r="A124" t="str">
        <x:v>147777</x:v>
      </x:c>
      <x:c r="B124" t="str">
        <x:v>147777</x:v>
      </x:c>
      <x:c r="C124" t="str">
        <x:v>B.Braun</x:v>
      </x:c>
      <x:c r="D124" t="str">
        <x:v>Infusomat Space</x:v>
      </x:c>
      <x:c r="E124" t="str">
        <x:v>Infusomat Space</x:v>
      </x:c>
      <x:c r="F124" t="str">
        <x:v>BBRAUN_INFUSOMAT</x:v>
      </x:c>
      <x:c r="G124" t="str">
        <x:v>Warehouse</x:v>
      </x:c>
      <x:c r="H124" t="str">
        <x:v>รอสอบเทียบ</x:v>
      </x:c>
      <x:c r="I124" t="str">
        <x:v>รอสอบเทียบ</x:v>
      </x:c>
      <x:c r="J124" t="str">
        <x:v>ไม่มีสัญญา</x:v>
      </x:c>
      <x:c r="K124" t="str">
        <x:v>รอสอบเทียบก่อนพร้อมส่ง</x:v>
      </x:c>
      <x:c r="L124" t="str">
        <x:v>ไม่ได้เช่ายืม = รอสอบเทียบ</x:v>
      </x:c>
      <x:c r="M124" t="str">
        <x:f>IF(OR(H124="ใช้งานไม่ได้",H124="BROKEN",H124="Broken"),"ใช้งานไม่ได้",IF(OR(H124="ไม่พบในรายการ",H124="MISSING",H124="Missing"),"ไม่พบในรายการ",IF(OR(J124="เช่ายืม",J124="IN_USE",J124="IN-USE",H124="เช่ายืม"),"เช่ายืม",IF(H124="พร้อมส่ง","พร้อมส่ง","รอสอบเทียบ"))))</x:f>
        <x:v>รอสอบเทียบ</x:v>
      </x:c>
    </x:row>
    <x:row r="125">
      <x:c r="A125" t="str">
        <x:v>200731</x:v>
      </x:c>
      <x:c r="B125" t="str">
        <x:v>200731</x:v>
      </x:c>
      <x:c r="C125" t="str">
        <x:v>B.Braun</x:v>
      </x:c>
      <x:c r="D125" t="str">
        <x:v>Infusomat Space</x:v>
      </x:c>
      <x:c r="E125" t="str">
        <x:v>Infusomat Space</x:v>
      </x:c>
      <x:c r="F125" t="str">
        <x:v>BBRAUN_INFUSOMAT</x:v>
      </x:c>
      <x:c r="G125" t="str">
        <x:v>Warehouse</x:v>
      </x:c>
      <x:c r="H125" t="str">
        <x:v>รอสอบเทียบ</x:v>
      </x:c>
      <x:c r="I125" t="str">
        <x:v>รอสอบเทียบ</x:v>
      </x:c>
      <x:c r="J125" t="str">
        <x:v>ไม่มีสัญญา</x:v>
      </x:c>
      <x:c r="K125" t="str">
        <x:v>รอสอบเทียบก่อนพร้อมส่ง</x:v>
      </x:c>
      <x:c r="L125" t="str">
        <x:v>ไม่ได้เช่ายืม = รอสอบเทียบ</x:v>
      </x:c>
      <x:c r="M125" t="str">
        <x:f>IF(OR(H125="ใช้งานไม่ได้",H125="BROKEN",H125="Broken"),"ใช้งานไม่ได้",IF(OR(H125="ไม่พบในรายการ",H125="MISSING",H125="Missing"),"ไม่พบในรายการ",IF(OR(J125="เช่ายืม",J125="IN_USE",J125="IN-USE",H125="เช่ายืม"),"เช่ายืม",IF(H125="พร้อมส่ง","พร้อมส่ง","รอสอบเทียบ"))))</x:f>
        <x:v>รอสอบเทียบ</x:v>
      </x:c>
    </x:row>
    <x:row r="126">
      <x:c r="A126" t="str">
        <x:v>200825</x:v>
      </x:c>
      <x:c r="B126" t="str">
        <x:v>200825</x:v>
      </x:c>
      <x:c r="C126" t="str">
        <x:v>B.Braun</x:v>
      </x:c>
      <x:c r="D126" t="str">
        <x:v>Infusomat Space</x:v>
      </x:c>
      <x:c r="E126" t="str">
        <x:v>Infusomat Space</x:v>
      </x:c>
      <x:c r="F126" t="str">
        <x:v>BBRAUN_INFUSOMAT</x:v>
      </x:c>
      <x:c r="G126" t="str">
        <x:v>โรงพยาบาลเปาโล พระประแดง</x:v>
      </x:c>
      <x:c r="H126" t="str">
        <x:v>เช่ายืม</x:v>
      </x:c>
      <x:c r="I126" t="str">
        <x:v>พร้อมส่ง</x:v>
      </x:c>
      <x:c r="J126" t="str">
        <x:v>เช่ายืม</x:v>
      </x:c>
      <x:c r="K126" t="str">
        <x:v>อยู่ระหว่างเช่ายืม / เกินกำหนดคืน 300 วัน</x:v>
      </x:c>
      <x:c r="L126"/>
      <x:c r="M126" t="str">
        <x:f>IF(OR(H126="ใช้งานไม่ได้",H126="BROKEN",H126="Broken"),"ใช้งานไม่ได้",IF(OR(H126="ไม่พบในรายการ",H126="MISSING",H126="Missing"),"ไม่พบในรายการ",IF(OR(J126="เช่ายืม",J126="IN_USE",J126="IN-USE",H126="เช่ายืม"),"เช่ายืม",IF(H126="พร้อมส่ง","พร้อมส่ง","รอสอบเทียบ"))))</x:f>
        <x:v>เช่ายืม</x:v>
      </x:c>
    </x:row>
    <x:row r="127">
      <x:c r="A127" t="str">
        <x:v>200914</x:v>
      </x:c>
      <x:c r="B127" t="str">
        <x:v>200914</x:v>
      </x:c>
      <x:c r="C127" t="str">
        <x:v>B.Braun</x:v>
      </x:c>
      <x:c r="D127" t="str">
        <x:v>Infusomat Space</x:v>
      </x:c>
      <x:c r="E127" t="str">
        <x:v>Infusomat Space</x:v>
      </x:c>
      <x:c r="F127" t="str">
        <x:v>BBRAUN_INFUSOMAT</x:v>
      </x:c>
      <x:c r="G127" t="str">
        <x:v>โรงพยาบาลเปาโล พระประแดง</x:v>
      </x:c>
      <x:c r="H127" t="str">
        <x:v>เช่ายืม</x:v>
      </x:c>
      <x:c r="I127" t="str">
        <x:v>พร้อมส่ง</x:v>
      </x:c>
      <x:c r="J127" t="str">
        <x:v>เช่ายืม</x:v>
      </x:c>
      <x:c r="K127" t="str">
        <x:v>อยู่ระหว่างเช่ายืม / เกินกำหนดคืน 300 วัน</x:v>
      </x:c>
      <x:c r="L127"/>
      <x:c r="M127" t="str">
        <x:f>IF(OR(H127="ใช้งานไม่ได้",H127="BROKEN",H127="Broken"),"ใช้งานไม่ได้",IF(OR(H127="ไม่พบในรายการ",H127="MISSING",H127="Missing"),"ไม่พบในรายการ",IF(OR(J127="เช่ายืม",J127="IN_USE",J127="IN-USE",H127="เช่ายืม"),"เช่ายืม",IF(H127="พร้อมส่ง","พร้อมส่ง","รอสอบเทียบ"))))</x:f>
        <x:v>เช่ายืม</x:v>
      </x:c>
    </x:row>
    <x:row r="128">
      <x:c r="A128" t="str">
        <x:v>200925</x:v>
      </x:c>
      <x:c r="B128" t="str">
        <x:v>200925</x:v>
      </x:c>
      <x:c r="C128" t="str">
        <x:v>B.Braun</x:v>
      </x:c>
      <x:c r="D128" t="str">
        <x:v>Infusomat Space</x:v>
      </x:c>
      <x:c r="E128" t="str">
        <x:v>Infusomat Space</x:v>
      </x:c>
      <x:c r="F128" t="str">
        <x:v>BBRAUN_INFUSOMAT</x:v>
      </x:c>
      <x:c r="G128" t="str">
        <x:v>ABSOLUTE HEALTH CLINIC</x:v>
      </x:c>
      <x:c r="H128" t="str">
        <x:v>เช่ายืม</x:v>
      </x:c>
      <x:c r="I128" t="str">
        <x:v>พร้อมส่ง</x:v>
      </x:c>
      <x:c r="J128" t="str">
        <x:v>เช่ายืม</x:v>
      </x:c>
      <x:c r="K128" t="str">
        <x:v>อยู่ระหว่างเช่ายืม / เกินกำหนดคืน 90 วัน</x:v>
      </x:c>
      <x:c r="L128"/>
      <x:c r="M128" t="str">
        <x:f>IF(OR(H128="ใช้งานไม่ได้",H128="BROKEN",H128="Broken"),"ใช้งานไม่ได้",IF(OR(H128="ไม่พบในรายการ",H128="MISSING",H128="Missing"),"ไม่พบในรายการ",IF(OR(J128="เช่ายืม",J128="IN_USE",J128="IN-USE",H128="เช่ายืม"),"เช่ายืม",IF(H128="พร้อมส่ง","พร้อมส่ง","รอสอบเทียบ"))))</x:f>
        <x:v>เช่ายืม</x:v>
      </x:c>
    </x:row>
    <x:row r="129">
      <x:c r="A129" t="str">
        <x:v>201142</x:v>
      </x:c>
      <x:c r="B129" t="str">
        <x:v>201142</x:v>
      </x:c>
      <x:c r="C129" t="str">
        <x:v>B.Braun</x:v>
      </x:c>
      <x:c r="D129" t="str">
        <x:v>Infusomat Space</x:v>
      </x:c>
      <x:c r="E129" t="str">
        <x:v>Infusomat Space</x:v>
      </x:c>
      <x:c r="F129" t="str">
        <x:v>BBRAUN_INFUSOMAT</x:v>
      </x:c>
      <x:c r="G129" t="str">
        <x:v>Warehouse</x:v>
      </x:c>
      <x:c r="H129" t="str">
        <x:v>รอสอบเทียบ</x:v>
      </x:c>
      <x:c r="I129" t="str">
        <x:v>รอสอบเทียบ</x:v>
      </x:c>
      <x:c r="J129" t="str">
        <x:v>ไม่มีสัญญา</x:v>
      </x:c>
      <x:c r="K129" t="str">
        <x:v>รอสอบเทียบก่อนพร้อมส่ง</x:v>
      </x:c>
      <x:c r="L129" t="str">
        <x:v>ไม่ได้เช่ายืม = รอสอบเทียบ</x:v>
      </x:c>
      <x:c r="M129" t="str">
        <x:f>IF(OR(H129="ใช้งานไม่ได้",H129="BROKEN",H129="Broken"),"ใช้งานไม่ได้",IF(OR(H129="ไม่พบในรายการ",H129="MISSING",H129="Missing"),"ไม่พบในรายการ",IF(OR(J129="เช่ายืม",J129="IN_USE",J129="IN-USE",H129="เช่ายืม"),"เช่ายืม",IF(H129="พร้อมส่ง","พร้อมส่ง","รอสอบเทียบ"))))</x:f>
        <x:v>รอสอบเทียบ</x:v>
      </x:c>
    </x:row>
    <x:row r="130">
      <x:c r="A130" t="str">
        <x:v>201197</x:v>
      </x:c>
      <x:c r="B130" t="str">
        <x:v>201197</x:v>
      </x:c>
      <x:c r="C130" t="str">
        <x:v>B.Braun</x:v>
      </x:c>
      <x:c r="D130" t="str">
        <x:v>Infusomat Space</x:v>
      </x:c>
      <x:c r="E130" t="str">
        <x:v>Infusomat Space</x:v>
      </x:c>
      <x:c r="F130" t="str">
        <x:v>BBRAUN_INFUSOMAT</x:v>
      </x:c>
      <x:c r="G130" t="str">
        <x:v>Warehouse</x:v>
      </x:c>
      <x:c r="H130" t="str">
        <x:v>รอสอบเทียบ</x:v>
      </x:c>
      <x:c r="I130" t="str">
        <x:v>รอสอบเทียบ</x:v>
      </x:c>
      <x:c r="J130" t="str">
        <x:v>ไม่มีสัญญา</x:v>
      </x:c>
      <x:c r="K130" t="str">
        <x:v>รอสอบเทียบก่อนพร้อมส่ง</x:v>
      </x:c>
      <x:c r="L130" t="str">
        <x:v>ไม่ได้เช่ายืม = รอสอบเทียบ</x:v>
      </x:c>
      <x:c r="M130" t="str">
        <x:f>IF(OR(H130="ใช้งานไม่ได้",H130="BROKEN",H130="Broken"),"ใช้งานไม่ได้",IF(OR(H130="ไม่พบในรายการ",H130="MISSING",H130="Missing"),"ไม่พบในรายการ",IF(OR(J130="เช่ายืม",J130="IN_USE",J130="IN-USE",H130="เช่ายืม"),"เช่ายืม",IF(H130="พร้อมส่ง","พร้อมส่ง","รอสอบเทียบ"))))</x:f>
        <x:v>รอสอบเทียบ</x:v>
      </x:c>
    </x:row>
    <x:row r="131">
      <x:c r="A131" t="str">
        <x:v>201266</x:v>
      </x:c>
      <x:c r="B131" t="str">
        <x:v>201266</x:v>
      </x:c>
      <x:c r="C131" t="str">
        <x:v>B.Braun</x:v>
      </x:c>
      <x:c r="D131" t="str">
        <x:v>Infusomat Space</x:v>
      </x:c>
      <x:c r="E131" t="str">
        <x:v>Infusomat Space</x:v>
      </x:c>
      <x:c r="F131" t="str">
        <x:v>BBRAUN_INFUSOMAT</x:v>
      </x:c>
      <x:c r="G131" t="str">
        <x:v>Warehouse</x:v>
      </x:c>
      <x:c r="H131" t="str">
        <x:v>รอสอบเทียบ</x:v>
      </x:c>
      <x:c r="I131" t="str">
        <x:v>รอสอบเทียบ</x:v>
      </x:c>
      <x:c r="J131" t="str">
        <x:v>ไม่มีสัญญา</x:v>
      </x:c>
      <x:c r="K131" t="str">
        <x:v>รอสอบเทียบก่อนพร้อมส่ง</x:v>
      </x:c>
      <x:c r="L131" t="str">
        <x:v>ไม่ได้เช่ายืม = รอสอบเทียบ</x:v>
      </x:c>
      <x:c r="M131" t="str">
        <x:f>IF(OR(H131="ใช้งานไม่ได้",H131="BROKEN",H131="Broken"),"ใช้งานไม่ได้",IF(OR(H131="ไม่พบในรายการ",H131="MISSING",H131="Missing"),"ไม่พบในรายการ",IF(OR(J131="เช่ายืม",J131="IN_USE",J131="IN-USE",H131="เช่ายืม"),"เช่ายืม",IF(H131="พร้อมส่ง","พร้อมส่ง","รอสอบเทียบ"))))</x:f>
        <x:v>รอสอบเทียบ</x:v>
      </x:c>
    </x:row>
    <x:row r="132">
      <x:c r="A132" t="str">
        <x:v>201334</x:v>
      </x:c>
      <x:c r="B132" t="str">
        <x:v>NHBB0463</x:v>
      </x:c>
      <x:c r="C132" t="str">
        <x:v>B.Braun</x:v>
      </x:c>
      <x:c r="D132" t="str">
        <x:v>Infusomat Space</x:v>
      </x:c>
      <x:c r="E132" t="str">
        <x:v>Infusomat Space</x:v>
      </x:c>
      <x:c r="F132" t="str">
        <x:v>BBRAUN_INFUSOMAT</x:v>
      </x:c>
      <x:c r="G132" t="str">
        <x:v>รพ.กรุงเทพสนามจันทร์ (BSN)</x:v>
      </x:c>
      <x:c r="H132" t="str">
        <x:v>เช่ายืม</x:v>
      </x:c>
      <x:c r="I132" t="str">
        <x:v>พร้อมส่ง</x:v>
      </x:c>
      <x:c r="J132" t="str">
        <x:v>เช่ายืม</x:v>
      </x:c>
      <x:c r="K132" t="str">
        <x:v>No action</x:v>
      </x:c>
      <x:c r="L132"/>
      <x:c r="M132" t="str">
        <x:f>IF(OR(H132="ใช้งานไม่ได้",H132="BROKEN",H132="Broken"),"ใช้งานไม่ได้",IF(OR(H132="ไม่พบในรายการ",H132="MISSING",H132="Missing"),"ไม่พบในรายการ",IF(OR(J132="เช่ายืม",J132="IN_USE",J132="IN-USE",H132="เช่ายืม"),"เช่ายืม",IF(H132="พร้อมส่ง","พร้อมส่ง","รอสอบเทียบ"))))</x:f>
        <x:v>เช่ายืม</x:v>
      </x:c>
    </x:row>
    <x:row r="133">
      <x:c r="A133" t="str">
        <x:v>201380</x:v>
      </x:c>
      <x:c r="B133" t="str">
        <x:v>NHBB0174</x:v>
      </x:c>
      <x:c r="C133" t="str">
        <x:v>B.Braun</x:v>
      </x:c>
      <x:c r="D133" t="str">
        <x:v>Infusomat Space</x:v>
      </x:c>
      <x:c r="E133" t="str">
        <x:v>Infusomat Space</x:v>
      </x:c>
      <x:c r="F133" t="str">
        <x:v>BBRAUN_INFUSOMAT</x:v>
      </x:c>
      <x:c r="G133" t="str">
        <x:v>รพ.วันเวลา</x:v>
      </x:c>
      <x:c r="H133" t="str">
        <x:v>เช่ายืม</x:v>
      </x:c>
      <x:c r="I133" t="str">
        <x:v>พร้อมส่ง</x:v>
      </x:c>
      <x:c r="J133" t="str">
        <x:v>เช่ายืม</x:v>
      </x:c>
      <x:c r="K133" t="str">
        <x:v>No action</x:v>
      </x:c>
      <x:c r="L133"/>
      <x:c r="M133" t="str">
        <x:f>IF(OR(H133="ใช้งานไม่ได้",H133="BROKEN",H133="Broken"),"ใช้งานไม่ได้",IF(OR(H133="ไม่พบในรายการ",H133="MISSING",H133="Missing"),"ไม่พบในรายการ",IF(OR(J133="เช่ายืม",J133="IN_USE",J133="IN-USE",H133="เช่ายืม"),"เช่ายืม",IF(H133="พร้อมส่ง","พร้อมส่ง","รอสอบเทียบ"))))</x:f>
        <x:v>เช่ายืม</x:v>
      </x:c>
    </x:row>
    <x:row r="134">
      <x:c r="A134" t="str">
        <x:v>201381</x:v>
      </x:c>
      <x:c r="B134" t="str">
        <x:v>201381</x:v>
      </x:c>
      <x:c r="C134" t="str">
        <x:v>B.Braun</x:v>
      </x:c>
      <x:c r="D134" t="str">
        <x:v>Infusomat Space</x:v>
      </x:c>
      <x:c r="E134" t="str">
        <x:v>Infusomat Space</x:v>
      </x:c>
      <x:c r="F134" t="str">
        <x:v>BBRAUN_INFUSOMAT</x:v>
      </x:c>
      <x:c r="G134" t="str">
        <x:v>Warehouse</x:v>
      </x:c>
      <x:c r="H134" t="str">
        <x:v>รอสอบเทียบ</x:v>
      </x:c>
      <x:c r="I134" t="str">
        <x:v>รอสอบเทียบ</x:v>
      </x:c>
      <x:c r="J134" t="str">
        <x:v>ไม่มีสัญญา</x:v>
      </x:c>
      <x:c r="K134" t="str">
        <x:v>รอสอบเทียบก่อนพร้อมส่ง</x:v>
      </x:c>
      <x:c r="L134" t="str">
        <x:v>ไม่ได้เช่ายืม = รอสอบเทียบ</x:v>
      </x:c>
      <x:c r="M134" t="str">
        <x:f>IF(OR(H134="ใช้งานไม่ได้",H134="BROKEN",H134="Broken"),"ใช้งานไม่ได้",IF(OR(H134="ไม่พบในรายการ",H134="MISSING",H134="Missing"),"ไม่พบในรายการ",IF(OR(J134="เช่ายืม",J134="IN_USE",J134="IN-USE",H134="เช่ายืม"),"เช่ายืม",IF(H134="พร้อมส่ง","พร้อมส่ง","รอสอบเทียบ"))))</x:f>
        <x:v>รอสอบเทียบ</x:v>
      </x:c>
    </x:row>
    <x:row r="135">
      <x:c r="A135" t="str">
        <x:v>201455</x:v>
      </x:c>
      <x:c r="B135" t="str">
        <x:v>201455</x:v>
      </x:c>
      <x:c r="C135" t="str">
        <x:v>B.Braun</x:v>
      </x:c>
      <x:c r="D135" t="str">
        <x:v>Infusomat Space</x:v>
      </x:c>
      <x:c r="E135" t="str">
        <x:v>Infusomat Space</x:v>
      </x:c>
      <x:c r="F135" t="str">
        <x:v>BBRAUN_INFUSOMAT</x:v>
      </x:c>
      <x:c r="G135" t="str">
        <x:v>Warehouse</x:v>
      </x:c>
      <x:c r="H135" t="str">
        <x:v>รอสอบเทียบ</x:v>
      </x:c>
      <x:c r="I135" t="str">
        <x:v>รอสอบเทียบ</x:v>
      </x:c>
      <x:c r="J135" t="str">
        <x:v>ไม่มีสัญญา</x:v>
      </x:c>
      <x:c r="K135" t="str">
        <x:v>รอสอบเทียบก่อนพร้อมส่ง</x:v>
      </x:c>
      <x:c r="L135" t="str">
        <x:v>ไม่ได้เช่ายืม = รอสอบเทียบ</x:v>
      </x:c>
      <x:c r="M135" t="str">
        <x:f>IF(OR(H135="ใช้งานไม่ได้",H135="BROKEN",H135="Broken"),"ใช้งานไม่ได้",IF(OR(H135="ไม่พบในรายการ",H135="MISSING",H135="Missing"),"ไม่พบในรายการ",IF(OR(J135="เช่ายืม",J135="IN_USE",J135="IN-USE",H135="เช่ายืม"),"เช่ายืม",IF(H135="พร้อมส่ง","พร้อมส่ง","รอสอบเทียบ"))))</x:f>
        <x:v>รอสอบเทียบ</x:v>
      </x:c>
    </x:row>
    <x:row r="136">
      <x:c r="A136" t="str">
        <x:v>201464</x:v>
      </x:c>
      <x:c r="B136" t="str">
        <x:v>NHBB0163</x:v>
      </x:c>
      <x:c r="C136" t="str">
        <x:v>B.Braun</x:v>
      </x:c>
      <x:c r="D136" t="str">
        <x:v>Infusomat Space</x:v>
      </x:c>
      <x:c r="E136" t="str">
        <x:v>Infusomat Space</x:v>
      </x:c>
      <x:c r="F136" t="str">
        <x:v>BBRAUN_INFUSOMAT</x:v>
      </x:c>
      <x:c r="G136" t="str">
        <x:v>รพ.วันเวลา</x:v>
      </x:c>
      <x:c r="H136" t="str">
        <x:v>เช่ายืม</x:v>
      </x:c>
      <x:c r="I136" t="str">
        <x:v>พร้อมส่ง</x:v>
      </x:c>
      <x:c r="J136" t="str">
        <x:v>เช่ายืม</x:v>
      </x:c>
      <x:c r="K136" t="str">
        <x:v>No action</x:v>
      </x:c>
      <x:c r="L136"/>
      <x:c r="M136" t="str">
        <x:f>IF(OR(H136="ใช้งานไม่ได้",H136="BROKEN",H136="Broken"),"ใช้งานไม่ได้",IF(OR(H136="ไม่พบในรายการ",H136="MISSING",H136="Missing"),"ไม่พบในรายการ",IF(OR(J136="เช่ายืม",J136="IN_USE",J136="IN-USE",H136="เช่ายืม"),"เช่ายืม",IF(H136="พร้อมส่ง","พร้อมส่ง","รอสอบเทียบ"))))</x:f>
        <x:v>เช่ายืม</x:v>
      </x:c>
    </x:row>
    <x:row r="137">
      <x:c r="A137" t="str">
        <x:v>224561</x:v>
      </x:c>
      <x:c r="B137" t="str">
        <x:v>224561</x:v>
      </x:c>
      <x:c r="C137" t="str">
        <x:v>B.Braun</x:v>
      </x:c>
      <x:c r="D137" t="str">
        <x:v>Infusomat Space</x:v>
      </x:c>
      <x:c r="E137" t="str">
        <x:v>Infusomat Space</x:v>
      </x:c>
      <x:c r="F137" t="str">
        <x:v>BBRAUN_INFUSOMAT</x:v>
      </x:c>
      <x:c r="G137" t="str">
        <x:v>Warehouse</x:v>
      </x:c>
      <x:c r="H137" t="str">
        <x:v>รอสอบเทียบ</x:v>
      </x:c>
      <x:c r="I137" t="str">
        <x:v>รอสอบเทียบ</x:v>
      </x:c>
      <x:c r="J137" t="str">
        <x:v>ไม่มีสัญญา</x:v>
      </x:c>
      <x:c r="K137" t="str">
        <x:v>รอสอบเทียบก่อนพร้อมส่ง</x:v>
      </x:c>
      <x:c r="L137" t="str">
        <x:v>ไม่ได้เช่ายืม = รอสอบเทียบ</x:v>
      </x:c>
      <x:c r="M137" t="str">
        <x:f>IF(OR(H137="ใช้งานไม่ได้",H137="BROKEN",H137="Broken"),"ใช้งานไม่ได้",IF(OR(H137="ไม่พบในรายการ",H137="MISSING",H137="Missing"),"ไม่พบในรายการ",IF(OR(J137="เช่ายืม",J137="IN_USE",J137="IN-USE",H137="เช่ายืม"),"เช่ายืม",IF(H137="พร้อมส่ง","พร้อมส่ง","รอสอบเทียบ"))))</x:f>
        <x:v>รอสอบเทียบ</x:v>
      </x:c>
    </x:row>
    <x:row r="138">
      <x:c r="A138" t="str">
        <x:v>229810</x:v>
      </x:c>
      <x:c r="B138" t="str">
        <x:v>229810</x:v>
      </x:c>
      <x:c r="C138" t="str">
        <x:v>B.Braun</x:v>
      </x:c>
      <x:c r="D138" t="str">
        <x:v>Infusomat Space</x:v>
      </x:c>
      <x:c r="E138" t="str">
        <x:v>Infusomat Space</x:v>
      </x:c>
      <x:c r="F138" t="str">
        <x:v>BBRAUN_INFUSOMAT</x:v>
      </x:c>
      <x:c r="G138" t="str">
        <x:v>BHP</x:v>
      </x:c>
      <x:c r="H138" t="str">
        <x:v>เช่ายืม</x:v>
      </x:c>
      <x:c r="I138" t="str">
        <x:v>พร้อมส่ง</x:v>
      </x:c>
      <x:c r="J138" t="str">
        <x:v>เช่ายืม</x:v>
      </x:c>
      <x:c r="K138" t="str">
        <x:v>อยู่ระหว่างเช่ายืม / เกินกำหนดคืน 60 วัน</x:v>
      </x:c>
      <x:c r="L138"/>
      <x:c r="M138" t="str">
        <x:f>IF(OR(H138="ใช้งานไม่ได้",H138="BROKEN",H138="Broken"),"ใช้งานไม่ได้",IF(OR(H138="ไม่พบในรายการ",H138="MISSING",H138="Missing"),"ไม่พบในรายการ",IF(OR(J138="เช่ายืม",J138="IN_USE",J138="IN-USE",H138="เช่ายืม"),"เช่ายืม",IF(H138="พร้อมส่ง","พร้อมส่ง","รอสอบเทียบ"))))</x:f>
        <x:v>เช่ายืม</x:v>
      </x:c>
    </x:row>
    <x:row r="139">
      <x:c r="A139" t="str">
        <x:v>229912</x:v>
      </x:c>
      <x:c r="B139" t="str">
        <x:v>229912</x:v>
      </x:c>
      <x:c r="C139" t="str">
        <x:v>B.Braun</x:v>
      </x:c>
      <x:c r="D139" t="str">
        <x:v>Infusomat Space</x:v>
      </x:c>
      <x:c r="E139" t="str">
        <x:v>Infusomat Space</x:v>
      </x:c>
      <x:c r="F139" t="str">
        <x:v>BBRAUN_INFUSOMAT</x:v>
      </x:c>
      <x:c r="G139" t="str">
        <x:v>BHP</x:v>
      </x:c>
      <x:c r="H139" t="str">
        <x:v>เช่ายืม</x:v>
      </x:c>
      <x:c r="I139" t="str">
        <x:v>พร้อมส่ง</x:v>
      </x:c>
      <x:c r="J139" t="str">
        <x:v>เช่ายืม</x:v>
      </x:c>
      <x:c r="K139" t="str">
        <x:v>อยู่ระหว่างเช่ายืม / เกินกำหนดคืน 60 วัน</x:v>
      </x:c>
      <x:c r="L139"/>
      <x:c r="M139" t="str">
        <x:f>IF(OR(H139="ใช้งานไม่ได้",H139="BROKEN",H139="Broken"),"ใช้งานไม่ได้",IF(OR(H139="ไม่พบในรายการ",H139="MISSING",H139="Missing"),"ไม่พบในรายการ",IF(OR(J139="เช่ายืม",J139="IN_USE",J139="IN-USE",H139="เช่ายืม"),"เช่ายืม",IF(H139="พร้อมส่ง","พร้อมส่ง","รอสอบเทียบ"))))</x:f>
        <x:v>เช่ายืม</x:v>
      </x:c>
    </x:row>
    <x:row r="140">
      <x:c r="A140" t="str">
        <x:v>229918</x:v>
      </x:c>
      <x:c r="B140" t="str">
        <x:v>229918</x:v>
      </x:c>
      <x:c r="C140" t="str">
        <x:v>B.Braun</x:v>
      </x:c>
      <x:c r="D140" t="str">
        <x:v>Infusomat Space</x:v>
      </x:c>
      <x:c r="E140" t="str">
        <x:v>Infusomat Space</x:v>
      </x:c>
      <x:c r="F140" t="str">
        <x:v>BBRAUN_INFUSOMAT</x:v>
      </x:c>
      <x:c r="G140" t="str">
        <x:v>Warehouse</x:v>
      </x:c>
      <x:c r="H140" t="str">
        <x:v>รอสอบเทียบ</x:v>
      </x:c>
      <x:c r="I140" t="str">
        <x:v>รอสอบเทียบ</x:v>
      </x:c>
      <x:c r="J140" t="str">
        <x:v>ไม่มีสัญญา</x:v>
      </x:c>
      <x:c r="K140" t="str">
        <x:v>รอสอบเทียบก่อนพร้อมส่ง</x:v>
      </x:c>
      <x:c r="L140" t="str">
        <x:v>ไม่ได้เช่ายืม = รอสอบเทียบ</x:v>
      </x:c>
      <x:c r="M140" t="str">
        <x:f>IF(OR(H140="ใช้งานไม่ได้",H140="BROKEN",H140="Broken"),"ใช้งานไม่ได้",IF(OR(H140="ไม่พบในรายการ",H140="MISSING",H140="Missing"),"ไม่พบในรายการ",IF(OR(J140="เช่ายืม",J140="IN_USE",J140="IN-USE",H140="เช่ายืม"),"เช่ายืม",IF(H140="พร้อมส่ง","พร้อมส่ง","รอสอบเทียบ"))))</x:f>
        <x:v>รอสอบเทียบ</x:v>
      </x:c>
    </x:row>
    <x:row r="141">
      <x:c r="A141" t="str">
        <x:v>24572</x:v>
      </x:c>
      <x:c r="B141" t="str">
        <x:v>24572</x:v>
      </x:c>
      <x:c r="C141" t="str">
        <x:v>B.Braun</x:v>
      </x:c>
      <x:c r="D141" t="str">
        <x:v>Infusomat Space</x:v>
      </x:c>
      <x:c r="E141" t="str">
        <x:v>Infusomat Space</x:v>
      </x:c>
      <x:c r="F141" t="str">
        <x:v>BBRAUN_INFUSOMAT</x:v>
      </x:c>
      <x:c r="G141" t="str">
        <x:v>Warehouse</x:v>
      </x:c>
      <x:c r="H141" t="str">
        <x:v>รอสอบเทียบ</x:v>
      </x:c>
      <x:c r="I141" t="str">
        <x:v>รอสอบเทียบ</x:v>
      </x:c>
      <x:c r="J141" t="str">
        <x:v>ไม่มีสัญญา</x:v>
      </x:c>
      <x:c r="K141" t="str">
        <x:v>รอสอบเทียบก่อนพร้อมส่ง</x:v>
      </x:c>
      <x:c r="L141" t="str">
        <x:v>ไม่ได้เช่ายืม = รอสอบเทียบ</x:v>
      </x:c>
      <x:c r="M141" t="str">
        <x:f>IF(OR(H141="ใช้งานไม่ได้",H141="BROKEN",H141="Broken"),"ใช้งานไม่ได้",IF(OR(H141="ไม่พบในรายการ",H141="MISSING",H141="Missing"),"ไม่พบในรายการ",IF(OR(J141="เช่ายืม",J141="IN_USE",J141="IN-USE",H141="เช่ายืม"),"เช่ายืม",IF(H141="พร้อมส่ง","พร้อมส่ง","รอสอบเทียบ"))))</x:f>
        <x:v>รอสอบเทียบ</x:v>
      </x:c>
    </x:row>
    <x:row r="142">
      <x:c r="A142" t="str">
        <x:v>251505</x:v>
      </x:c>
      <x:c r="B142" t="str">
        <x:v>251505</x:v>
      </x:c>
      <x:c r="C142" t="str">
        <x:v>B.Braun</x:v>
      </x:c>
      <x:c r="D142" t="str">
        <x:v>Infusomat Space</x:v>
      </x:c>
      <x:c r="E142" t="str">
        <x:v>Infusomat Space</x:v>
      </x:c>
      <x:c r="F142" t="str">
        <x:v>BBRAUN_INFUSOMAT</x:v>
      </x:c>
      <x:c r="G142" t="str">
        <x:v>Warehouse</x:v>
      </x:c>
      <x:c r="H142" t="str">
        <x:v>รอสอบเทียบ</x:v>
      </x:c>
      <x:c r="I142" t="str">
        <x:v>รอสอบเทียบ</x:v>
      </x:c>
      <x:c r="J142" t="str">
        <x:v>ไม่มีสัญญา</x:v>
      </x:c>
      <x:c r="K142" t="str">
        <x:v>รอสอบเทียบก่อนพร้อมส่ง</x:v>
      </x:c>
      <x:c r="L142" t="str">
        <x:v>ไม่ได้เช่ายืม = รอสอบเทียบ</x:v>
      </x:c>
      <x:c r="M142" t="str">
        <x:f>IF(OR(H142="ใช้งานไม่ได้",H142="BROKEN",H142="Broken"),"ใช้งานไม่ได้",IF(OR(H142="ไม่พบในรายการ",H142="MISSING",H142="Missing"),"ไม่พบในรายการ",IF(OR(J142="เช่ายืม",J142="IN_USE",J142="IN-USE",H142="เช่ายืม"),"เช่ายืม",IF(H142="พร้อมส่ง","พร้อมส่ง","รอสอบเทียบ"))))</x:f>
        <x:v>รอสอบเทียบ</x:v>
      </x:c>
    </x:row>
    <x:row r="143">
      <x:c r="A143" t="str">
        <x:v>252106</x:v>
      </x:c>
      <x:c r="B143" t="str">
        <x:v>NH0043</x:v>
      </x:c>
      <x:c r="C143" t="str">
        <x:v>B.Braun</x:v>
      </x:c>
      <x:c r="D143" t="str">
        <x:v>Infusomat Space</x:v>
      </x:c>
      <x:c r="E143" t="str">
        <x:v>Infusomat Space</x:v>
      </x:c>
      <x:c r="F143" t="str">
        <x:v>BBRAUN_INFUSOMAT</x:v>
      </x:c>
      <x:c r="G143" t="str">
        <x:v>เช่าเพิ่ม รพ.วันเวลา</x:v>
      </x:c>
      <x:c r="H143" t="str">
        <x:v>เช่ายืม</x:v>
      </x:c>
      <x:c r="I143" t="str">
        <x:v>พร้อมส่ง</x:v>
      </x:c>
      <x:c r="J143" t="str">
        <x:v>เช่ายืม</x:v>
      </x:c>
      <x:c r="K143" t="str">
        <x:v>No action</x:v>
      </x:c>
      <x:c r="L143"/>
      <x:c r="M143" t="str">
        <x:f>IF(OR(H143="ใช้งานไม่ได้",H143="BROKEN",H143="Broken"),"ใช้งานไม่ได้",IF(OR(H143="ไม่พบในรายการ",H143="MISSING",H143="Missing"),"ไม่พบในรายการ",IF(OR(J143="เช่ายืม",J143="IN_USE",J143="IN-USE",H143="เช่ายืม"),"เช่ายืม",IF(H143="พร้อมส่ง","พร้อมส่ง","รอสอบเทียบ"))))</x:f>
        <x:v>เช่ายืม</x:v>
      </x:c>
    </x:row>
    <x:row r="144">
      <x:c r="A144" t="str">
        <x:v>252110</x:v>
      </x:c>
      <x:c r="B144" t="str">
        <x:v>252110</x:v>
      </x:c>
      <x:c r="C144" t="str">
        <x:v>B.Braun</x:v>
      </x:c>
      <x:c r="D144" t="str">
        <x:v>Infusomat Space</x:v>
      </x:c>
      <x:c r="E144" t="str">
        <x:v>Infusomat Space</x:v>
      </x:c>
      <x:c r="F144" t="str">
        <x:v>BBRAUN_INFUSOMAT</x:v>
      </x:c>
      <x:c r="G144" t="str">
        <x:v>ABSOLUTE HEALTH CLINIC</x:v>
      </x:c>
      <x:c r="H144" t="str">
        <x:v>เช่ายืม</x:v>
      </x:c>
      <x:c r="I144" t="str">
        <x:v>พร้อมส่ง</x:v>
      </x:c>
      <x:c r="J144" t="str">
        <x:v>เช่ายืม</x:v>
      </x:c>
      <x:c r="K144" t="str">
        <x:v>อยู่ระหว่างเช่ายืม / เกินกำหนดคืน 90 วัน</x:v>
      </x:c>
      <x:c r="L144"/>
      <x:c r="M144" t="str">
        <x:f>IF(OR(H144="ใช้งานไม่ได้",H144="BROKEN",H144="Broken"),"ใช้งานไม่ได้",IF(OR(H144="ไม่พบในรายการ",H144="MISSING",H144="Missing"),"ไม่พบในรายการ",IF(OR(J144="เช่ายืม",J144="IN_USE",J144="IN-USE",H144="เช่ายืม"),"เช่ายืม",IF(H144="พร้อมส่ง","พร้อมส่ง","รอสอบเทียบ"))))</x:f>
        <x:v>เช่ายืม</x:v>
      </x:c>
    </x:row>
    <x:row r="145">
      <x:c r="A145" t="str">
        <x:v>252120</x:v>
      </x:c>
      <x:c r="B145" t="str">
        <x:v>252120</x:v>
      </x:c>
      <x:c r="C145" t="str">
        <x:v>B.Braun</x:v>
      </x:c>
      <x:c r="D145" t="str">
        <x:v>Infusomat Space</x:v>
      </x:c>
      <x:c r="E145" t="str">
        <x:v>Infusomat Space</x:v>
      </x:c>
      <x:c r="F145" t="str">
        <x:v>BBRAUN_INFUSOMAT</x:v>
      </x:c>
      <x:c r="G145" t="str">
        <x:v>Warehouse</x:v>
      </x:c>
      <x:c r="H145" t="str">
        <x:v>รอสอบเทียบ</x:v>
      </x:c>
      <x:c r="I145" t="str">
        <x:v>รอสอบเทียบ</x:v>
      </x:c>
      <x:c r="J145" t="str">
        <x:v>ไม่มีสัญญา</x:v>
      </x:c>
      <x:c r="K145" t="str">
        <x:v>รอสอบเทียบก่อนพร้อมส่ง</x:v>
      </x:c>
      <x:c r="L145" t="str">
        <x:v>ไม่ได้เช่ายืม = รอสอบเทียบ</x:v>
      </x:c>
      <x:c r="M145" t="str">
        <x:f>IF(OR(H145="ใช้งานไม่ได้",H145="BROKEN",H145="Broken"),"ใช้งานไม่ได้",IF(OR(H145="ไม่พบในรายการ",H145="MISSING",H145="Missing"),"ไม่พบในรายการ",IF(OR(J145="เช่ายืม",J145="IN_USE",J145="IN-USE",H145="เช่ายืม"),"เช่ายืม",IF(H145="พร้อมส่ง","พร้อมส่ง","รอสอบเทียบ"))))</x:f>
        <x:v>รอสอบเทียบ</x:v>
      </x:c>
    </x:row>
    <x:row r="146">
      <x:c r="A146" t="str">
        <x:v>252154</x:v>
      </x:c>
      <x:c r="B146" t="str">
        <x:v>252154</x:v>
      </x:c>
      <x:c r="C146" t="str">
        <x:v>B.Braun</x:v>
      </x:c>
      <x:c r="D146" t="str">
        <x:v>Infusomat Space</x:v>
      </x:c>
      <x:c r="E146" t="str">
        <x:v>Infusomat Space</x:v>
      </x:c>
      <x:c r="F146" t="str">
        <x:v>BBRAUN_INFUSOMAT</x:v>
      </x:c>
      <x:c r="G146" t="str">
        <x:v>Warehouse</x:v>
      </x:c>
      <x:c r="H146" t="str">
        <x:v>รอสอบเทียบ</x:v>
      </x:c>
      <x:c r="I146" t="str">
        <x:v>รอสอบเทียบ</x:v>
      </x:c>
      <x:c r="J146" t="str">
        <x:v>ไม่มีสัญญา</x:v>
      </x:c>
      <x:c r="K146" t="str">
        <x:v>รอสอบเทียบก่อนพร้อมส่ง</x:v>
      </x:c>
      <x:c r="L146" t="str">
        <x:v>ไม่ได้เช่ายืม = รอสอบเทียบ</x:v>
      </x:c>
      <x:c r="M146" t="str">
        <x:f>IF(OR(H146="ใช้งานไม่ได้",H146="BROKEN",H146="Broken"),"ใช้งานไม่ได้",IF(OR(H146="ไม่พบในรายการ",H146="MISSING",H146="Missing"),"ไม่พบในรายการ",IF(OR(J146="เช่ายืม",J146="IN_USE",J146="IN-USE",H146="เช่ายืม"),"เช่ายืม",IF(H146="พร้อมส่ง","พร้อมส่ง","รอสอบเทียบ"))))</x:f>
        <x:v>รอสอบเทียบ</x:v>
      </x:c>
    </x:row>
    <x:row r="147">
      <x:c r="A147" t="str">
        <x:v>252197</x:v>
      </x:c>
      <x:c r="B147" t="str">
        <x:v>252197</x:v>
      </x:c>
      <x:c r="C147" t="str">
        <x:v>B.Braun</x:v>
      </x:c>
      <x:c r="D147" t="str">
        <x:v>Infusomat Space</x:v>
      </x:c>
      <x:c r="E147" t="str">
        <x:v>Infusomat Space</x:v>
      </x:c>
      <x:c r="F147" t="str">
        <x:v>BBRAUN_INFUSOMAT</x:v>
      </x:c>
      <x:c r="G147" t="str">
        <x:v>BHP</x:v>
      </x:c>
      <x:c r="H147" t="str">
        <x:v>เช่ายืม</x:v>
      </x:c>
      <x:c r="I147" t="str">
        <x:v>พร้อมส่ง</x:v>
      </x:c>
      <x:c r="J147" t="str">
        <x:v>เช่ายืม</x:v>
      </x:c>
      <x:c r="K147" t="str">
        <x:v>อยู่ระหว่างเช่ายืม / เกินกำหนดคืน 60 วัน</x:v>
      </x:c>
      <x:c r="L147"/>
      <x:c r="M147" t="str">
        <x:f>IF(OR(H147="ใช้งานไม่ได้",H147="BROKEN",H147="Broken"),"ใช้งานไม่ได้",IF(OR(H147="ไม่พบในรายการ",H147="MISSING",H147="Missing"),"ไม่พบในรายการ",IF(OR(J147="เช่ายืม",J147="IN_USE",J147="IN-USE",H147="เช่ายืม"),"เช่ายืม",IF(H147="พร้อมส่ง","พร้อมส่ง","รอสอบเทียบ"))))</x:f>
        <x:v>เช่ายืม</x:v>
      </x:c>
    </x:row>
    <x:row r="148">
      <x:c r="A148" t="str">
        <x:v>252244</x:v>
      </x:c>
      <x:c r="B148" t="str">
        <x:v>NHBB0173</x:v>
      </x:c>
      <x:c r="C148" t="str">
        <x:v>B.Braun</x:v>
      </x:c>
      <x:c r="D148" t="str">
        <x:v>Infusomat Space</x:v>
      </x:c>
      <x:c r="E148" t="str">
        <x:v>Infusomat Space</x:v>
      </x:c>
      <x:c r="F148" t="str">
        <x:v>BBRAUN_INFUSOMAT</x:v>
      </x:c>
      <x:c r="G148" t="str">
        <x:v>รับคืนจาก Viva</x:v>
      </x:c>
      <x:c r="H148" t="str">
        <x:v>เช่ายืม</x:v>
      </x:c>
      <x:c r="I148" t="str">
        <x:v>พร้อมส่ง</x:v>
      </x:c>
      <x:c r="J148" t="str">
        <x:v>เช่ายืม</x:v>
      </x:c>
      <x:c r="K148" t="str">
        <x:v>No action</x:v>
      </x:c>
      <x:c r="L148"/>
      <x:c r="M148" t="str">
        <x:f>IF(OR(H148="ใช้งานไม่ได้",H148="BROKEN",H148="Broken"),"ใช้งานไม่ได้",IF(OR(H148="ไม่พบในรายการ",H148="MISSING",H148="Missing"),"ไม่พบในรายการ",IF(OR(J148="เช่ายืม",J148="IN_USE",J148="IN-USE",H148="เช่ายืม"),"เช่ายืม",IF(H148="พร้อมส่ง","พร้อมส่ง","รอสอบเทียบ"))))</x:f>
        <x:v>เช่ายืม</x:v>
      </x:c>
    </x:row>
    <x:row r="149">
      <x:c r="A149" t="str">
        <x:v>252267</x:v>
      </x:c>
      <x:c r="B149" t="str">
        <x:v>252267</x:v>
      </x:c>
      <x:c r="C149" t="str">
        <x:v>B.Braun</x:v>
      </x:c>
      <x:c r="D149" t="str">
        <x:v>Infusomat Space</x:v>
      </x:c>
      <x:c r="E149" t="str">
        <x:v>Infusomat Space</x:v>
      </x:c>
      <x:c r="F149" t="str">
        <x:v>BBRAUN_INFUSOMAT</x:v>
      </x:c>
      <x:c r="G149" t="str">
        <x:v>Warehouse</x:v>
      </x:c>
      <x:c r="H149" t="str">
        <x:v>รอสอบเทียบ</x:v>
      </x:c>
      <x:c r="I149" t="str">
        <x:v>รอสอบเทียบ</x:v>
      </x:c>
      <x:c r="J149" t="str">
        <x:v>ไม่มีสัญญา</x:v>
      </x:c>
      <x:c r="K149" t="str">
        <x:v>รอสอบเทียบก่อนพร้อมส่ง</x:v>
      </x:c>
      <x:c r="L149" t="str">
        <x:v>ไม่ได้เช่ายืม = รอสอบเทียบ</x:v>
      </x:c>
      <x:c r="M149" t="str">
        <x:f>IF(OR(H149="ใช้งานไม่ได้",H149="BROKEN",H149="Broken"),"ใช้งานไม่ได้",IF(OR(H149="ไม่พบในรายการ",H149="MISSING",H149="Missing"),"ไม่พบในรายการ",IF(OR(J149="เช่ายืม",J149="IN_USE",J149="IN-USE",H149="เช่ายืม"),"เช่ายืม",IF(H149="พร้อมส่ง","พร้อมส่ง","รอสอบเทียบ"))))</x:f>
        <x:v>รอสอบเทียบ</x:v>
      </x:c>
    </x:row>
    <x:row r="150">
      <x:c r="A150" t="str">
        <x:v>254505</x:v>
      </x:c>
      <x:c r="B150" t="str">
        <x:v>254505</x:v>
      </x:c>
      <x:c r="C150" t="str">
        <x:v>B.Braun</x:v>
      </x:c>
      <x:c r="D150" t="str">
        <x:v>Infusomat Space</x:v>
      </x:c>
      <x:c r="E150" t="str">
        <x:v>Infusomat Space</x:v>
      </x:c>
      <x:c r="F150" t="str">
        <x:v>BBRAUN_INFUSOMAT</x:v>
      </x:c>
      <x:c r="G150" t="str">
        <x:v>Warehouse</x:v>
      </x:c>
      <x:c r="H150" t="str">
        <x:v>รอสอบเทียบ</x:v>
      </x:c>
      <x:c r="I150" t="str">
        <x:v>รอสอบเทียบ</x:v>
      </x:c>
      <x:c r="J150" t="str">
        <x:v>ไม่มีสัญญา</x:v>
      </x:c>
      <x:c r="K150" t="str">
        <x:v>รอสอบเทียบก่อนพร้อมส่ง</x:v>
      </x:c>
      <x:c r="L150" t="str">
        <x:v>ไม่ได้เช่ายืม = รอสอบเทียบ</x:v>
      </x:c>
      <x:c r="M150" t="str">
        <x:f>IF(OR(H150="ใช้งานไม่ได้",H150="BROKEN",H150="Broken"),"ใช้งานไม่ได้",IF(OR(H150="ไม่พบในรายการ",H150="MISSING",H150="Missing"),"ไม่พบในรายการ",IF(OR(J150="เช่ายืม",J150="IN_USE",J150="IN-USE",H150="เช่ายืม"),"เช่ายืม",IF(H150="พร้อมส่ง","พร้อมส่ง","รอสอบเทียบ"))))</x:f>
        <x:v>รอสอบเทียบ</x:v>
      </x:c>
    </x:row>
    <x:row r="151">
      <x:c r="A151" t="str">
        <x:v>254579</x:v>
      </x:c>
      <x:c r="B151" t="str">
        <x:v>254579</x:v>
      </x:c>
      <x:c r="C151" t="str">
        <x:v>B.Braun</x:v>
      </x:c>
      <x:c r="D151" t="str">
        <x:v>Infusomat Space</x:v>
      </x:c>
      <x:c r="E151" t="str">
        <x:v>Infusomat Space</x:v>
      </x:c>
      <x:c r="F151" t="str">
        <x:v>BBRAUN_INFUSOMAT</x:v>
      </x:c>
      <x:c r="G151" t="str">
        <x:v>Warehouse</x:v>
      </x:c>
      <x:c r="H151" t="str">
        <x:v>รอสอบเทียบ</x:v>
      </x:c>
      <x:c r="I151" t="str">
        <x:v>รอสอบเทียบ</x:v>
      </x:c>
      <x:c r="J151" t="str">
        <x:v>ไม่มีสัญญา</x:v>
      </x:c>
      <x:c r="K151" t="str">
        <x:v>รอสอบเทียบก่อนพร้อมส่ง</x:v>
      </x:c>
      <x:c r="L151" t="str">
        <x:v>ไม่ได้เช่ายืม = รอสอบเทียบ</x:v>
      </x:c>
      <x:c r="M151" t="str">
        <x:f>IF(OR(H151="ใช้งานไม่ได้",H151="BROKEN",H151="Broken"),"ใช้งานไม่ได้",IF(OR(H151="ไม่พบในรายการ",H151="MISSING",H151="Missing"),"ไม่พบในรายการ",IF(OR(J151="เช่ายืม",J151="IN_USE",J151="IN-USE",H151="เช่ายืม"),"เช่ายืม",IF(H151="พร้อมส่ง","พร้อมส่ง","รอสอบเทียบ"))))</x:f>
        <x:v>รอสอบเทียบ</x:v>
      </x:c>
    </x:row>
    <x:row r="152">
      <x:c r="A152" t="str">
        <x:v>254608</x:v>
      </x:c>
      <x:c r="B152" t="str">
        <x:v>254608</x:v>
      </x:c>
      <x:c r="C152" t="str">
        <x:v>B.Braun</x:v>
      </x:c>
      <x:c r="D152" t="str">
        <x:v>Infusomat Space</x:v>
      </x:c>
      <x:c r="E152" t="str">
        <x:v>Infusomat Space</x:v>
      </x:c>
      <x:c r="F152" t="str">
        <x:v>BBRAUN_INFUSOMAT</x:v>
      </x:c>
      <x:c r="G152" t="str">
        <x:v>Warehouse</x:v>
      </x:c>
      <x:c r="H152" t="str">
        <x:v>รอสอบเทียบ</x:v>
      </x:c>
      <x:c r="I152" t="str">
        <x:v>รอสอบเทียบ</x:v>
      </x:c>
      <x:c r="J152" t="str">
        <x:v>ไม่มีสัญญา</x:v>
      </x:c>
      <x:c r="K152" t="str">
        <x:v>รอสอบเทียบก่อนพร้อมส่ง</x:v>
      </x:c>
      <x:c r="L152" t="str">
        <x:v>ไม่ได้เช่ายืม = รอสอบเทียบ</x:v>
      </x:c>
      <x:c r="M152" t="str">
        <x:f>IF(OR(H152="ใช้งานไม่ได้",H152="BROKEN",H152="Broken"),"ใช้งานไม่ได้",IF(OR(H152="ไม่พบในรายการ",H152="MISSING",H152="Missing"),"ไม่พบในรายการ",IF(OR(J152="เช่ายืม",J152="IN_USE",J152="IN-USE",H152="เช่ายืม"),"เช่ายืม",IF(H152="พร้อมส่ง","พร้อมส่ง","รอสอบเทียบ"))))</x:f>
        <x:v>รอสอบเทียบ</x:v>
      </x:c>
    </x:row>
    <x:row r="153">
      <x:c r="A153" t="str">
        <x:v>254645</x:v>
      </x:c>
      <x:c r="B153" t="str">
        <x:v>254645</x:v>
      </x:c>
      <x:c r="C153" t="str">
        <x:v>B.Braun</x:v>
      </x:c>
      <x:c r="D153" t="str">
        <x:v>Infusomat Space</x:v>
      </x:c>
      <x:c r="E153" t="str">
        <x:v>Infusomat Space</x:v>
      </x:c>
      <x:c r="F153" t="str">
        <x:v>BBRAUN_INFUSOMAT</x:v>
      </x:c>
      <x:c r="G153" t="str">
        <x:v>Warehouse</x:v>
      </x:c>
      <x:c r="H153" t="str">
        <x:v>รอสอบเทียบ</x:v>
      </x:c>
      <x:c r="I153" t="str">
        <x:v>รอสอบเทียบ</x:v>
      </x:c>
      <x:c r="J153" t="str">
        <x:v>ไม่มีสัญญา</x:v>
      </x:c>
      <x:c r="K153" t="str">
        <x:v>รอสอบเทียบก่อนพร้อมส่ง</x:v>
      </x:c>
      <x:c r="L153" t="str">
        <x:v>ไม่ได้เช่ายืม = รอสอบเทียบ</x:v>
      </x:c>
      <x:c r="M153" t="str">
        <x:f>IF(OR(H153="ใช้งานไม่ได้",H153="BROKEN",H153="Broken"),"ใช้งานไม่ได้",IF(OR(H153="ไม่พบในรายการ",H153="MISSING",H153="Missing"),"ไม่พบในรายการ",IF(OR(J153="เช่ายืม",J153="IN_USE",J153="IN-USE",H153="เช่ายืม"),"เช่ายืม",IF(H153="พร้อมส่ง","พร้อมส่ง","รอสอบเทียบ"))))</x:f>
        <x:v>รอสอบเทียบ</x:v>
      </x:c>
    </x:row>
    <x:row r="154">
      <x:c r="A154" t="str">
        <x:v>254650</x:v>
      </x:c>
      <x:c r="B154" t="str">
        <x:v>254650</x:v>
      </x:c>
      <x:c r="C154" t="str">
        <x:v>B.Braun</x:v>
      </x:c>
      <x:c r="D154" t="str">
        <x:v>Infusomat Space</x:v>
      </x:c>
      <x:c r="E154" t="str">
        <x:v>Infusomat Space</x:v>
      </x:c>
      <x:c r="F154" t="str">
        <x:v>BBRAUN_INFUSOMAT</x:v>
      </x:c>
      <x:c r="G154" t="str">
        <x:v>Warehouse</x:v>
      </x:c>
      <x:c r="H154" t="str">
        <x:v>รอสอบเทียบ</x:v>
      </x:c>
      <x:c r="I154" t="str">
        <x:v>รอสอบเทียบ</x:v>
      </x:c>
      <x:c r="J154" t="str">
        <x:v>ไม่มีสัญญา</x:v>
      </x:c>
      <x:c r="K154" t="str">
        <x:v>รอสอบเทียบก่อนพร้อมส่ง</x:v>
      </x:c>
      <x:c r="L154" t="str">
        <x:v>ไม่ได้เช่ายืม = รอสอบเทียบ</x:v>
      </x:c>
      <x:c r="M154" t="str">
        <x:f>IF(OR(H154="ใช้งานไม่ได้",H154="BROKEN",H154="Broken"),"ใช้งานไม่ได้",IF(OR(H154="ไม่พบในรายการ",H154="MISSING",H154="Missing"),"ไม่พบในรายการ",IF(OR(J154="เช่ายืม",J154="IN_USE",J154="IN-USE",H154="เช่ายืม"),"เช่ายืม",IF(H154="พร้อมส่ง","พร้อมส่ง","รอสอบเทียบ"))))</x:f>
        <x:v>รอสอบเทียบ</x:v>
      </x:c>
    </x:row>
    <x:row r="155">
      <x:c r="A155" t="str">
        <x:v>SN_254748</x:v>
      </x:c>
      <x:c r="B155" t="str">
        <x:v>254748</x:v>
      </x:c>
      <x:c r="C155" t="str">
        <x:v>B.Braun</x:v>
      </x:c>
      <x:c r="D155" t="str">
        <x:v>Infusomat Space</x:v>
      </x:c>
      <x:c r="E155" t="str">
        <x:v>Infusomat Space</x:v>
      </x:c>
      <x:c r="F155" t="str">
        <x:v>BBRAUN_INFUSOMAT</x:v>
      </x:c>
      <x:c r="G155" t="str">
        <x:v>Warehouse</x:v>
      </x:c>
      <x:c r="H155" t="str">
        <x:v>รอสอบเทียบ</x:v>
      </x:c>
      <x:c r="I155" t="str">
        <x:v>รอสอบเทียบ</x:v>
      </x:c>
      <x:c r="J155" t="str">
        <x:v>ไม่มีสัญญา</x:v>
      </x:c>
      <x:c r="K155" t="str">
        <x:v>รอสอบเทียบก่อนพร้อมส่ง</x:v>
      </x:c>
      <x:c r="L155" t="str">
        <x:v>ไม่ได้เช่ายืม = รอสอบเทียบ</x:v>
      </x:c>
      <x:c r="M155" t="str">
        <x:f>IF(OR(H155="ใช้งานไม่ได้",H155="BROKEN",H155="Broken"),"ใช้งานไม่ได้",IF(OR(H155="ไม่พบในรายการ",H155="MISSING",H155="Missing"),"ไม่พบในรายการ",IF(OR(J155="เช่ายืม",J155="IN_USE",J155="IN-USE",H155="เช่ายืม"),"เช่ายืม",IF(H155="พร้อมส่ง","พร้อมส่ง","รอสอบเทียบ"))))</x:f>
        <x:v>รอสอบเทียบ</x:v>
      </x:c>
    </x:row>
    <x:row r="156">
      <x:c r="A156" t="str">
        <x:v>254758</x:v>
      </x:c>
      <x:c r="B156" t="str">
        <x:v>NHBB0122</x:v>
      </x:c>
      <x:c r="C156" t="str">
        <x:v>B.Braun</x:v>
      </x:c>
      <x:c r="D156" t="str">
        <x:v>Infusomat Space</x:v>
      </x:c>
      <x:c r="E156" t="str">
        <x:v>Infusomat Space</x:v>
      </x:c>
      <x:c r="F156" t="str">
        <x:v>BBRAUN_INFUSOMAT</x:v>
      </x:c>
      <x:c r="G156" t="str">
        <x:v>ABSOLUTE HEALTH CLINIC</x:v>
      </x:c>
      <x:c r="H156" t="str">
        <x:v>เช่ายืม</x:v>
      </x:c>
      <x:c r="I156" t="str">
        <x:v>พร้อมส่ง</x:v>
      </x:c>
      <x:c r="J156" t="str">
        <x:v>เช่ายืม</x:v>
      </x:c>
      <x:c r="K156" t="str">
        <x:v>No action</x:v>
      </x:c>
      <x:c r="L156"/>
      <x:c r="M156" t="str">
        <x:f>IF(OR(H156="ใช้งานไม่ได้",H156="BROKEN",H156="Broken"),"ใช้งานไม่ได้",IF(OR(H156="ไม่พบในรายการ",H156="MISSING",H156="Missing"),"ไม่พบในรายการ",IF(OR(J156="เช่ายืม",J156="IN_USE",J156="IN-USE",H156="เช่ายืม"),"เช่ายืม",IF(H156="พร้อมส่ง","พร้อมส่ง","รอสอบเทียบ"))))</x:f>
        <x:v>เช่ายืม</x:v>
      </x:c>
    </x:row>
    <x:row r="157">
      <x:c r="A157" t="str">
        <x:v>25479</x:v>
      </x:c>
      <x:c r="B157" t="str">
        <x:v>25479</x:v>
      </x:c>
      <x:c r="C157" t="str">
        <x:v>B.Braun</x:v>
      </x:c>
      <x:c r="D157" t="str">
        <x:v>Infusomat Space</x:v>
      </x:c>
      <x:c r="E157" t="str">
        <x:v>Infusomat Space</x:v>
      </x:c>
      <x:c r="F157" t="str">
        <x:v>BBRAUN_INFUSOMAT</x:v>
      </x:c>
      <x:c r="G157" t="str">
        <x:v>Warehouse</x:v>
      </x:c>
      <x:c r="H157" t="str">
        <x:v>รอสอบเทียบ</x:v>
      </x:c>
      <x:c r="I157" t="str">
        <x:v>รอสอบเทียบ</x:v>
      </x:c>
      <x:c r="J157" t="str">
        <x:v>ไม่มีสัญญา</x:v>
      </x:c>
      <x:c r="K157" t="str">
        <x:v>รอสอบเทียบก่อนพร้อมส่ง</x:v>
      </x:c>
      <x:c r="L157" t="str">
        <x:v>ไม่ได้เช่ายืม = รอสอบเทียบ</x:v>
      </x:c>
      <x:c r="M157" t="str">
        <x:f>IF(OR(H157="ใช้งานไม่ได้",H157="BROKEN",H157="Broken"),"ใช้งานไม่ได้",IF(OR(H157="ไม่พบในรายการ",H157="MISSING",H157="Missing"),"ไม่พบในรายการ",IF(OR(J157="เช่ายืม",J157="IN_USE",J157="IN-USE",H157="เช่ายืม"),"เช่ายืม",IF(H157="พร้อมส่ง","พร้อมส่ง","รอสอบเทียบ"))))</x:f>
        <x:v>รอสอบเทียบ</x:v>
      </x:c>
    </x:row>
    <x:row r="158">
      <x:c r="A158" t="str">
        <x:v>255012</x:v>
      </x:c>
      <x:c r="B158" t="str">
        <x:v>NHBB0123</x:v>
      </x:c>
      <x:c r="C158" t="str">
        <x:v>B.Braun</x:v>
      </x:c>
      <x:c r="D158" t="str">
        <x:v>Infusomat Space</x:v>
      </x:c>
      <x:c r="E158" t="str">
        <x:v>Infusomat Space</x:v>
      </x:c>
      <x:c r="F158" t="str">
        <x:v>BBRAUN_INFUSOMAT</x:v>
      </x:c>
      <x:c r="G158" t="str">
        <x:v>ABSOLUTE HEALTH CLINIC</x:v>
      </x:c>
      <x:c r="H158" t="str">
        <x:v>เช่ายืม</x:v>
      </x:c>
      <x:c r="I158" t="str">
        <x:v>พร้อมส่ง</x:v>
      </x:c>
      <x:c r="J158" t="str">
        <x:v>เช่ายืม</x:v>
      </x:c>
      <x:c r="K158" t="str">
        <x:v>No action</x:v>
      </x:c>
      <x:c r="L158"/>
      <x:c r="M158" t="str">
        <x:f>IF(OR(H158="ใช้งานไม่ได้",H158="BROKEN",H158="Broken"),"ใช้งานไม่ได้",IF(OR(H158="ไม่พบในรายการ",H158="MISSING",H158="Missing"),"ไม่พบในรายการ",IF(OR(J158="เช่ายืม",J158="IN_USE",J158="IN-USE",H158="เช่ายืม"),"เช่ายืม",IF(H158="พร้อมส่ง","พร้อมส่ง","รอสอบเทียบ"))))</x:f>
        <x:v>เช่ายืม</x:v>
      </x:c>
    </x:row>
    <x:row r="159">
      <x:c r="A159" t="str">
        <x:v>255130</x:v>
      </x:c>
      <x:c r="B159" t="str">
        <x:v>NHBB0119</x:v>
      </x:c>
      <x:c r="C159" t="str">
        <x:v>B.Braun</x:v>
      </x:c>
      <x:c r="D159" t="str">
        <x:v>Infusomat Space</x:v>
      </x:c>
      <x:c r="E159" t="str">
        <x:v>Infusomat Space</x:v>
      </x:c>
      <x:c r="F159" t="str">
        <x:v>BBRAUN_INFUSOMAT</x:v>
      </x:c>
      <x:c r="G159" t="str">
        <x:v>รพ.วันเวลา</x:v>
      </x:c>
      <x:c r="H159" t="str">
        <x:v>เช่ายืม</x:v>
      </x:c>
      <x:c r="I159" t="str">
        <x:v>พร้อมส่ง</x:v>
      </x:c>
      <x:c r="J159" t="str">
        <x:v>เช่ายืม</x:v>
      </x:c>
      <x:c r="K159" t="str">
        <x:v>No action</x:v>
      </x:c>
      <x:c r="L159"/>
      <x:c r="M159" t="str">
        <x:f>IF(OR(H159="ใช้งานไม่ได้",H159="BROKEN",H159="Broken"),"ใช้งานไม่ได้",IF(OR(H159="ไม่พบในรายการ",H159="MISSING",H159="Missing"),"ไม่พบในรายการ",IF(OR(J159="เช่ายืม",J159="IN_USE",J159="IN-USE",H159="เช่ายืม"),"เช่ายืม",IF(H159="พร้อมส่ง","พร้อมส่ง","รอสอบเทียบ"))))</x:f>
        <x:v>เช่ายืม</x:v>
      </x:c>
    </x:row>
    <x:row r="160">
      <x:c r="A160" t="str">
        <x:v>257288</x:v>
      </x:c>
      <x:c r="B160" t="str">
        <x:v>257288</x:v>
      </x:c>
      <x:c r="C160" t="str">
        <x:v>B.Braun</x:v>
      </x:c>
      <x:c r="D160" t="str">
        <x:v>Infusomat Space</x:v>
      </x:c>
      <x:c r="E160" t="str">
        <x:v>Infusomat Space</x:v>
      </x:c>
      <x:c r="F160" t="str">
        <x:v>BBRAUN_INFUSOMAT</x:v>
      </x:c>
      <x:c r="G160" t="str">
        <x:v>BME-BKN</x:v>
      </x:c>
      <x:c r="H160" t="str">
        <x:v>เช่ายืม</x:v>
      </x:c>
      <x:c r="I160" t="str">
        <x:v>พร้อมส่ง</x:v>
      </x:c>
      <x:c r="J160" t="str">
        <x:v>เช่ายืม</x:v>
      </x:c>
      <x:c r="K160" t="str">
        <x:v>อยู่ระหว่างเช่ายืม / เกินกำหนดคืน 78 วัน</x:v>
      </x:c>
      <x:c r="L160"/>
      <x:c r="M160" t="str">
        <x:f>IF(OR(H160="ใช้งานไม่ได้",H160="BROKEN",H160="Broken"),"ใช้งานไม่ได้",IF(OR(H160="ไม่พบในรายการ",H160="MISSING",H160="Missing"),"ไม่พบในรายการ",IF(OR(J160="เช่ายืม",J160="IN_USE",J160="IN-USE",H160="เช่ายืม"),"เช่ายืม",IF(H160="พร้อมส่ง","พร้อมส่ง","รอสอบเทียบ"))))</x:f>
        <x:v>เช่ายืม</x:v>
      </x:c>
    </x:row>
    <x:row r="161">
      <x:c r="A161" t="str">
        <x:v>257331</x:v>
      </x:c>
      <x:c r="B161" t="str">
        <x:v>257331</x:v>
      </x:c>
      <x:c r="C161" t="str">
        <x:v>B.Braun</x:v>
      </x:c>
      <x:c r="D161" t="str">
        <x:v>Infusomat Space</x:v>
      </x:c>
      <x:c r="E161" t="str">
        <x:v>Infusomat Space</x:v>
      </x:c>
      <x:c r="F161" t="str">
        <x:v>BBRAUN_INFUSOMAT</x:v>
      </x:c>
      <x:c r="G161" t="str">
        <x:v>Warehouse</x:v>
      </x:c>
      <x:c r="H161" t="str">
        <x:v>รอสอบเทียบ</x:v>
      </x:c>
      <x:c r="I161" t="str">
        <x:v>รอสอบเทียบ</x:v>
      </x:c>
      <x:c r="J161" t="str">
        <x:v>ไม่มีสัญญา</x:v>
      </x:c>
      <x:c r="K161" t="str">
        <x:v>รอสอบเทียบก่อนพร้อมส่ง</x:v>
      </x:c>
      <x:c r="L161" t="str">
        <x:v>ไม่ได้เช่ายืม = รอสอบเทียบ</x:v>
      </x:c>
      <x:c r="M161" t="str">
        <x:f>IF(OR(H161="ใช้งานไม่ได้",H161="BROKEN",H161="Broken"),"ใช้งานไม่ได้",IF(OR(H161="ไม่พบในรายการ",H161="MISSING",H161="Missing"),"ไม่พบในรายการ",IF(OR(J161="เช่ายืม",J161="IN_USE",J161="IN-USE",H161="เช่ายืม"),"เช่ายืม",IF(H161="พร้อมส่ง","พร้อมส่ง","รอสอบเทียบ"))))</x:f>
        <x:v>รอสอบเทียบ</x:v>
      </x:c>
    </x:row>
    <x:row r="162">
      <x:c r="A162" t="str">
        <x:v>258301</x:v>
      </x:c>
      <x:c r="B162" t="str">
        <x:v>258301</x:v>
      </x:c>
      <x:c r="C162" t="str">
        <x:v>B.Braun</x:v>
      </x:c>
      <x:c r="D162" t="str">
        <x:v>Infusomat Space</x:v>
      </x:c>
      <x:c r="E162" t="str">
        <x:v>Infusomat Space</x:v>
      </x:c>
      <x:c r="F162" t="str">
        <x:v>BBRAUN_INFUSOMAT</x:v>
      </x:c>
      <x:c r="G162" t="str">
        <x:v>BME-BKN</x:v>
      </x:c>
      <x:c r="H162" t="str">
        <x:v>เช่ายืม</x:v>
      </x:c>
      <x:c r="I162" t="str">
        <x:v>พร้อมส่ง</x:v>
      </x:c>
      <x:c r="J162" t="str">
        <x:v>เช่ายืม</x:v>
      </x:c>
      <x:c r="K162" t="str">
        <x:v>อยู่ระหว่างเช่ายืม / เกินกำหนดคืน 60 วัน</x:v>
      </x:c>
      <x:c r="L162"/>
      <x:c r="M162" t="str">
        <x:f>IF(OR(H162="ใช้งานไม่ได้",H162="BROKEN",H162="Broken"),"ใช้งานไม่ได้",IF(OR(H162="ไม่พบในรายการ",H162="MISSING",H162="Missing"),"ไม่พบในรายการ",IF(OR(J162="เช่ายืม",J162="IN_USE",J162="IN-USE",H162="เช่ายืม"),"เช่ายืม",IF(H162="พร้อมส่ง","พร้อมส่ง","รอสอบเทียบ"))))</x:f>
        <x:v>เช่ายืม</x:v>
      </x:c>
    </x:row>
    <x:row r="163">
      <x:c r="A163" t="str">
        <x:v>258556</x:v>
      </x:c>
      <x:c r="B163" t="str">
        <x:v>258556</x:v>
      </x:c>
      <x:c r="C163" t="str">
        <x:v>B.Braun</x:v>
      </x:c>
      <x:c r="D163" t="str">
        <x:v>Infusomat Space</x:v>
      </x:c>
      <x:c r="E163" t="str">
        <x:v>Infusomat Space</x:v>
      </x:c>
      <x:c r="F163" t="str">
        <x:v>BBRAUN_INFUSOMAT</x:v>
      </x:c>
      <x:c r="G163" t="str">
        <x:v>Warehouse</x:v>
      </x:c>
      <x:c r="H163" t="str">
        <x:v>รอสอบเทียบ</x:v>
      </x:c>
      <x:c r="I163" t="str">
        <x:v>รอสอบเทียบ</x:v>
      </x:c>
      <x:c r="J163" t="str">
        <x:v>ไม่มีสัญญา</x:v>
      </x:c>
      <x:c r="K163" t="str">
        <x:v>รอสอบเทียบก่อนพร้อมส่ง</x:v>
      </x:c>
      <x:c r="L163" t="str">
        <x:v>ไม่ได้เช่ายืม = รอสอบเทียบ</x:v>
      </x:c>
      <x:c r="M163" t="str">
        <x:f>IF(OR(H163="ใช้งานไม่ได้",H163="BROKEN",H163="Broken"),"ใช้งานไม่ได้",IF(OR(H163="ไม่พบในรายการ",H163="MISSING",H163="Missing"),"ไม่พบในรายการ",IF(OR(J163="เช่ายืม",J163="IN_USE",J163="IN-USE",H163="เช่ายืม"),"เช่ายืม",IF(H163="พร้อมส่ง","พร้อมส่ง","รอสอบเทียบ"))))</x:f>
        <x:v>รอสอบเทียบ</x:v>
      </x:c>
    </x:row>
    <x:row r="164">
      <x:c r="A164" t="str">
        <x:v>259916</x:v>
      </x:c>
      <x:c r="B164" t="str">
        <x:v>259916</x:v>
      </x:c>
      <x:c r="C164" t="str">
        <x:v>B.Braun</x:v>
      </x:c>
      <x:c r="D164" t="str">
        <x:v>Infusomat Space</x:v>
      </x:c>
      <x:c r="E164" t="str">
        <x:v>Infusomat Space</x:v>
      </x:c>
      <x:c r="F164" t="str">
        <x:v>BBRAUN_INFUSOMAT</x:v>
      </x:c>
      <x:c r="G164" t="str">
        <x:v>Warehouse</x:v>
      </x:c>
      <x:c r="H164" t="str">
        <x:v>รอสอบเทียบ</x:v>
      </x:c>
      <x:c r="I164" t="str">
        <x:v>รอสอบเทียบ</x:v>
      </x:c>
      <x:c r="J164" t="str">
        <x:v>ไม่มีสัญญา</x:v>
      </x:c>
      <x:c r="K164" t="str">
        <x:v>รอสอบเทียบก่อนพร้อมส่ง</x:v>
      </x:c>
      <x:c r="L164" t="str">
        <x:v>ไม่ได้เช่ายืม = รอสอบเทียบ</x:v>
      </x:c>
      <x:c r="M164" t="str">
        <x:f>IF(OR(H164="ใช้งานไม่ได้",H164="BROKEN",H164="Broken"),"ใช้งานไม่ได้",IF(OR(H164="ไม่พบในรายการ",H164="MISSING",H164="Missing"),"ไม่พบในรายการ",IF(OR(J164="เช่ายืม",J164="IN_USE",J164="IN-USE",H164="เช่ายืม"),"เช่ายืม",IF(H164="พร้อมส่ง","พร้อมส่ง","รอสอบเทียบ"))))</x:f>
        <x:v>รอสอบเทียบ</x:v>
      </x:c>
    </x:row>
    <x:row r="165">
      <x:c r="A165" t="str">
        <x:v>259921</x:v>
      </x:c>
      <x:c r="B165" t="str">
        <x:v>259921</x:v>
      </x:c>
      <x:c r="C165" t="str">
        <x:v>B.Braun</x:v>
      </x:c>
      <x:c r="D165" t="str">
        <x:v>Infusomat Space</x:v>
      </x:c>
      <x:c r="E165" t="str">
        <x:v>Infusomat Space</x:v>
      </x:c>
      <x:c r="F165" t="str">
        <x:v>BBRAUN_INFUSOMAT</x:v>
      </x:c>
      <x:c r="G165" t="str">
        <x:v>BME-BKN</x:v>
      </x:c>
      <x:c r="H165" t="str">
        <x:v>เช่ายืม</x:v>
      </x:c>
      <x:c r="I165" t="str">
        <x:v>พร้อมส่ง</x:v>
      </x:c>
      <x:c r="J165" t="str">
        <x:v>เช่ายืม</x:v>
      </x:c>
      <x:c r="K165" t="str">
        <x:v>อยู่ระหว่างเช่ายืม / เกินกำหนดคืน 60 วัน</x:v>
      </x:c>
      <x:c r="L165"/>
      <x:c r="M165" t="str">
        <x:f>IF(OR(H165="ใช้งานไม่ได้",H165="BROKEN",H165="Broken"),"ใช้งานไม่ได้",IF(OR(H165="ไม่พบในรายการ",H165="MISSING",H165="Missing"),"ไม่พบในรายการ",IF(OR(J165="เช่ายืม",J165="IN_USE",J165="IN-USE",H165="เช่ายืม"),"เช่ายืม",IF(H165="พร้อมส่ง","พร้อมส่ง","รอสอบเทียบ"))))</x:f>
        <x:v>เช่ายืม</x:v>
      </x:c>
    </x:row>
    <x:row r="166">
      <x:c r="A166" t="str">
        <x:v>259922</x:v>
      </x:c>
      <x:c r="B166" t="str">
        <x:v>259922</x:v>
      </x:c>
      <x:c r="C166" t="str">
        <x:v>B.Braun</x:v>
      </x:c>
      <x:c r="D166" t="str">
        <x:v>Infusomat Space</x:v>
      </x:c>
      <x:c r="E166" t="str">
        <x:v>Infusomat Space</x:v>
      </x:c>
      <x:c r="F166" t="str">
        <x:v>BBRAUN_INFUSOMAT</x:v>
      </x:c>
      <x:c r="G166" t="str">
        <x:v>Warehouse</x:v>
      </x:c>
      <x:c r="H166" t="str">
        <x:v>รอสอบเทียบ</x:v>
      </x:c>
      <x:c r="I166" t="str">
        <x:v>รอสอบเทียบ</x:v>
      </x:c>
      <x:c r="J166" t="str">
        <x:v>ไม่มีสัญญา</x:v>
      </x:c>
      <x:c r="K166" t="str">
        <x:v>รอสอบเทียบก่อนพร้อมส่ง</x:v>
      </x:c>
      <x:c r="L166" t="str">
        <x:v>ไม่ได้เช่ายืม = รอสอบเทียบ</x:v>
      </x:c>
      <x:c r="M166" t="str">
        <x:f>IF(OR(H166="ใช้งานไม่ได้",H166="BROKEN",H166="Broken"),"ใช้งานไม่ได้",IF(OR(H166="ไม่พบในรายการ",H166="MISSING",H166="Missing"),"ไม่พบในรายการ",IF(OR(J166="เช่ายืม",J166="IN_USE",J166="IN-USE",H166="เช่ายืม"),"เช่ายืม",IF(H166="พร้อมส่ง","พร้อมส่ง","รอสอบเทียบ"))))</x:f>
        <x:v>รอสอบเทียบ</x:v>
      </x:c>
    </x:row>
    <x:row r="167">
      <x:c r="A167" t="str">
        <x:v>259965</x:v>
      </x:c>
      <x:c r="B167" t="str">
        <x:v>259965</x:v>
      </x:c>
      <x:c r="C167" t="str">
        <x:v>B.Braun</x:v>
      </x:c>
      <x:c r="D167" t="str">
        <x:v>Infusomat Space</x:v>
      </x:c>
      <x:c r="E167" t="str">
        <x:v>Infusomat Space</x:v>
      </x:c>
      <x:c r="F167" t="str">
        <x:v>BBRAUN_INFUSOMAT</x:v>
      </x:c>
      <x:c r="G167" t="str">
        <x:v>Warehouse</x:v>
      </x:c>
      <x:c r="H167" t="str">
        <x:v>รอสอบเทียบ</x:v>
      </x:c>
      <x:c r="I167" t="str">
        <x:v>รอสอบเทียบ</x:v>
      </x:c>
      <x:c r="J167" t="str">
        <x:v>ไม่มีสัญญา</x:v>
      </x:c>
      <x:c r="K167" t="str">
        <x:v>รอสอบเทียบก่อนพร้อมส่ง</x:v>
      </x:c>
      <x:c r="L167" t="str">
        <x:v>ไม่ได้เช่ายืม = รอสอบเทียบ</x:v>
      </x:c>
      <x:c r="M167" t="str">
        <x:f>IF(OR(H167="ใช้งานไม่ได้",H167="BROKEN",H167="Broken"),"ใช้งานไม่ได้",IF(OR(H167="ไม่พบในรายการ",H167="MISSING",H167="Missing"),"ไม่พบในรายการ",IF(OR(J167="เช่ายืม",J167="IN_USE",J167="IN-USE",H167="เช่ายืม"),"เช่ายืม",IF(H167="พร้อมส่ง","พร้อมส่ง","รอสอบเทียบ"))))</x:f>
        <x:v>รอสอบเทียบ</x:v>
      </x:c>
    </x:row>
    <x:row r="168">
      <x:c r="A168" t="str">
        <x:v>259994</x:v>
      </x:c>
      <x:c r="B168" t="str">
        <x:v>259994</x:v>
      </x:c>
      <x:c r="C168" t="str">
        <x:v>B.Braun</x:v>
      </x:c>
      <x:c r="D168" t="str">
        <x:v>Infusomat Space</x:v>
      </x:c>
      <x:c r="E168" t="str">
        <x:v>Infusomat Space</x:v>
      </x:c>
      <x:c r="F168" t="str">
        <x:v>BBRAUN_INFUSOMAT</x:v>
      </x:c>
      <x:c r="G168" t="str">
        <x:v>BME-BKN</x:v>
      </x:c>
      <x:c r="H168" t="str">
        <x:v>เช่ายืม</x:v>
      </x:c>
      <x:c r="I168" t="str">
        <x:v>พร้อมส่ง</x:v>
      </x:c>
      <x:c r="J168" t="str">
        <x:v>เช่ายืม</x:v>
      </x:c>
      <x:c r="K168" t="str">
        <x:v>อยู่ระหว่างเช่ายืม / เกินกำหนดคืน 60 วัน</x:v>
      </x:c>
      <x:c r="L168"/>
      <x:c r="M168" t="str">
        <x:f>IF(OR(H168="ใช้งานไม่ได้",H168="BROKEN",H168="Broken"),"ใช้งานไม่ได้",IF(OR(H168="ไม่พบในรายการ",H168="MISSING",H168="Missing"),"ไม่พบในรายการ",IF(OR(J168="เช่ายืม",J168="IN_USE",J168="IN-USE",H168="เช่ายืม"),"เช่ายืม",IF(H168="พร้อมส่ง","พร้อมส่ง","รอสอบเทียบ"))))</x:f>
        <x:v>เช่ายืม</x:v>
      </x:c>
    </x:row>
    <x:row r="169">
      <x:c r="A169" t="str">
        <x:v>280586</x:v>
      </x:c>
      <x:c r="B169" t="str">
        <x:v>280586</x:v>
      </x:c>
      <x:c r="C169" t="str">
        <x:v>B.Braun</x:v>
      </x:c>
      <x:c r="D169" t="str">
        <x:v>Infusomat Space</x:v>
      </x:c>
      <x:c r="E169" t="str">
        <x:v>Infusomat Space</x:v>
      </x:c>
      <x:c r="F169" t="str">
        <x:v>BBRAUN_INFUSOMAT</x:v>
      </x:c>
      <x:c r="G169" t="str">
        <x:v>BME-BKN</x:v>
      </x:c>
      <x:c r="H169" t="str">
        <x:v>เช่ายืม</x:v>
      </x:c>
      <x:c r="I169" t="str">
        <x:v>พร้อมส่ง</x:v>
      </x:c>
      <x:c r="J169" t="str">
        <x:v>เช่ายืม</x:v>
      </x:c>
      <x:c r="K169" t="str">
        <x:v>อยู่ระหว่างเช่ายืม / เกินกำหนดคืน 60 วัน</x:v>
      </x:c>
      <x:c r="L169"/>
      <x:c r="M169" t="str">
        <x:f>IF(OR(H169="ใช้งานไม่ได้",H169="BROKEN",H169="Broken"),"ใช้งานไม่ได้",IF(OR(H169="ไม่พบในรายการ",H169="MISSING",H169="Missing"),"ไม่พบในรายการ",IF(OR(J169="เช่ายืม",J169="IN_USE",J169="IN-USE",H169="เช่ายืม"),"เช่ายืม",IF(H169="พร้อมส่ง","พร้อมส่ง","รอสอบเทียบ"))))</x:f>
        <x:v>เช่ายืม</x:v>
      </x:c>
    </x:row>
    <x:row r="170">
      <x:c r="A170" t="str">
        <x:v>280600</x:v>
      </x:c>
      <x:c r="B170" t="str">
        <x:v>280600</x:v>
      </x:c>
      <x:c r="C170" t="str">
        <x:v>B.Braun</x:v>
      </x:c>
      <x:c r="D170" t="str">
        <x:v>Infusomat Space</x:v>
      </x:c>
      <x:c r="E170" t="str">
        <x:v>Infusomat Space</x:v>
      </x:c>
      <x:c r="F170" t="str">
        <x:v>BBRAUN_INFUSOMAT</x:v>
      </x:c>
      <x:c r="G170" t="str">
        <x:v>BME-BKN</x:v>
      </x:c>
      <x:c r="H170" t="str">
        <x:v>เช่ายืม</x:v>
      </x:c>
      <x:c r="I170" t="str">
        <x:v>พร้อมส่ง</x:v>
      </x:c>
      <x:c r="J170" t="str">
        <x:v>เช่ายืม</x:v>
      </x:c>
      <x:c r="K170" t="str">
        <x:v>อยู่ระหว่างเช่ายืม / เกินกำหนดคืน 60 วัน</x:v>
      </x:c>
      <x:c r="L170"/>
      <x:c r="M170" t="str">
        <x:f>IF(OR(H170="ใช้งานไม่ได้",H170="BROKEN",H170="Broken"),"ใช้งานไม่ได้",IF(OR(H170="ไม่พบในรายการ",H170="MISSING",H170="Missing"),"ไม่พบในรายการ",IF(OR(J170="เช่ายืม",J170="IN_USE",J170="IN-USE",H170="เช่ายืม"),"เช่ายืม",IF(H170="พร้อมส่ง","พร้อมส่ง","รอสอบเทียบ"))))</x:f>
        <x:v>เช่ายืม</x:v>
      </x:c>
    </x:row>
    <x:row r="171">
      <x:c r="A171" t="str">
        <x:v>280607</x:v>
      </x:c>
      <x:c r="B171" t="str">
        <x:v>280607</x:v>
      </x:c>
      <x:c r="C171" t="str">
        <x:v>B.Braun</x:v>
      </x:c>
      <x:c r="D171" t="str">
        <x:v>Infusomat Space</x:v>
      </x:c>
      <x:c r="E171" t="str">
        <x:v>Infusomat Space</x:v>
      </x:c>
      <x:c r="F171" t="str">
        <x:v>BBRAUN_INFUSOMAT</x:v>
      </x:c>
      <x:c r="G171" t="str">
        <x:v>BME-BKN</x:v>
      </x:c>
      <x:c r="H171" t="str">
        <x:v>เช่ายืม</x:v>
      </x:c>
      <x:c r="I171" t="str">
        <x:v>พร้อมส่ง</x:v>
      </x:c>
      <x:c r="J171" t="str">
        <x:v>เช่ายืม</x:v>
      </x:c>
      <x:c r="K171" t="str">
        <x:v>อยู่ระหว่างเช่ายืม / เกินกำหนดคืน 60 วัน</x:v>
      </x:c>
      <x:c r="L171"/>
      <x:c r="M171" t="str">
        <x:f>IF(OR(H171="ใช้งานไม่ได้",H171="BROKEN",H171="Broken"),"ใช้งานไม่ได้",IF(OR(H171="ไม่พบในรายการ",H171="MISSING",H171="Missing"),"ไม่พบในรายการ",IF(OR(J171="เช่ายืม",J171="IN_USE",J171="IN-USE",H171="เช่ายืม"),"เช่ายืม",IF(H171="พร้อมส่ง","พร้อมส่ง","รอสอบเทียบ"))))</x:f>
        <x:v>เช่ายืม</x:v>
      </x:c>
    </x:row>
    <x:row r="172">
      <x:c r="A172" t="str">
        <x:v>280609</x:v>
      </x:c>
      <x:c r="B172" t="str">
        <x:v>280609</x:v>
      </x:c>
      <x:c r="C172" t="str">
        <x:v>B.Braun</x:v>
      </x:c>
      <x:c r="D172" t="str">
        <x:v>Infusomat Space</x:v>
      </x:c>
      <x:c r="E172" t="str">
        <x:v>Infusomat Space</x:v>
      </x:c>
      <x:c r="F172" t="str">
        <x:v>BBRAUN_INFUSOMAT</x:v>
      </x:c>
      <x:c r="G172" t="str">
        <x:v>BME-BKN</x:v>
      </x:c>
      <x:c r="H172" t="str">
        <x:v>เช่ายืม</x:v>
      </x:c>
      <x:c r="I172" t="str">
        <x:v>พร้อมส่ง</x:v>
      </x:c>
      <x:c r="J172" t="str">
        <x:v>เช่ายืม</x:v>
      </x:c>
      <x:c r="K172" t="str">
        <x:v>อยู่ระหว่างเช่ายืม / เกินกำหนดคืน 60 วัน</x:v>
      </x:c>
      <x:c r="L172"/>
      <x:c r="M172" t="str">
        <x:f>IF(OR(H172="ใช้งานไม่ได้",H172="BROKEN",H172="Broken"),"ใช้งานไม่ได้",IF(OR(H172="ไม่พบในรายการ",H172="MISSING",H172="Missing"),"ไม่พบในรายการ",IF(OR(J172="เช่ายืม",J172="IN_USE",J172="IN-USE",H172="เช่ายืม"),"เช่ายืม",IF(H172="พร้อมส่ง","พร้อมส่ง","รอสอบเทียบ"))))</x:f>
        <x:v>เช่ายืม</x:v>
      </x:c>
    </x:row>
    <x:row r="173">
      <x:c r="A173" t="str">
        <x:v>280629</x:v>
      </x:c>
      <x:c r="B173" t="str">
        <x:v>280629</x:v>
      </x:c>
      <x:c r="C173" t="str">
        <x:v>B.Braun</x:v>
      </x:c>
      <x:c r="D173" t="str">
        <x:v>Infusomat Space</x:v>
      </x:c>
      <x:c r="E173" t="str">
        <x:v>Infusomat Space</x:v>
      </x:c>
      <x:c r="F173" t="str">
        <x:v>BBRAUN_INFUSOMAT</x:v>
      </x:c>
      <x:c r="G173" t="str">
        <x:v>BME-BKN</x:v>
      </x:c>
      <x:c r="H173" t="str">
        <x:v>เช่ายืม</x:v>
      </x:c>
      <x:c r="I173" t="str">
        <x:v>พร้อมส่ง</x:v>
      </x:c>
      <x:c r="J173" t="str">
        <x:v>เช่ายืม</x:v>
      </x:c>
      <x:c r="K173" t="str">
        <x:v>อยู่ระหว่างเช่ายืม / เกินกำหนดคืน 60 วัน</x:v>
      </x:c>
      <x:c r="L173"/>
      <x:c r="M173" t="str">
        <x:f>IF(OR(H173="ใช้งานไม่ได้",H173="BROKEN",H173="Broken"),"ใช้งานไม่ได้",IF(OR(H173="ไม่พบในรายการ",H173="MISSING",H173="Missing"),"ไม่พบในรายการ",IF(OR(J173="เช่ายืม",J173="IN_USE",J173="IN-USE",H173="เช่ายืม"),"เช่ายืม",IF(H173="พร้อมส่ง","พร้อมส่ง","รอสอบเทียบ"))))</x:f>
        <x:v>เช่ายืม</x:v>
      </x:c>
    </x:row>
    <x:row r="174">
      <x:c r="A174" t="str">
        <x:v>280630</x:v>
      </x:c>
      <x:c r="B174" t="str">
        <x:v>280630</x:v>
      </x:c>
      <x:c r="C174" t="str">
        <x:v>B.Braun</x:v>
      </x:c>
      <x:c r="D174" t="str">
        <x:v>Infusomat Space</x:v>
      </x:c>
      <x:c r="E174" t="str">
        <x:v>Infusomat Space</x:v>
      </x:c>
      <x:c r="F174" t="str">
        <x:v>BBRAUN_INFUSOMAT</x:v>
      </x:c>
      <x:c r="G174" t="str">
        <x:v>BME-BKN</x:v>
      </x:c>
      <x:c r="H174" t="str">
        <x:v>เช่ายืม</x:v>
      </x:c>
      <x:c r="I174" t="str">
        <x:v>พร้อมส่ง</x:v>
      </x:c>
      <x:c r="J174" t="str">
        <x:v>เช่ายืม</x:v>
      </x:c>
      <x:c r="K174" t="str">
        <x:v>อยู่ระหว่างเช่ายืม / เกินกำหนดคืน 60 วัน</x:v>
      </x:c>
      <x:c r="L174"/>
      <x:c r="M174" t="str">
        <x:f>IF(OR(H174="ใช้งานไม่ได้",H174="BROKEN",H174="Broken"),"ใช้งานไม่ได้",IF(OR(H174="ไม่พบในรายการ",H174="MISSING",H174="Missing"),"ไม่พบในรายการ",IF(OR(J174="เช่ายืม",J174="IN_USE",J174="IN-USE",H174="เช่ายืม"),"เช่ายืม",IF(H174="พร้อมส่ง","พร้อมส่ง","รอสอบเทียบ"))))</x:f>
        <x:v>เช่ายืม</x:v>
      </x:c>
    </x:row>
    <x:row r="175">
      <x:c r="A175" t="str">
        <x:v>280688</x:v>
      </x:c>
      <x:c r="B175" t="str">
        <x:v>280688</x:v>
      </x:c>
      <x:c r="C175" t="str">
        <x:v>B.Braun</x:v>
      </x:c>
      <x:c r="D175" t="str">
        <x:v>Infusomat Space</x:v>
      </x:c>
      <x:c r="E175" t="str">
        <x:v>Infusomat Space</x:v>
      </x:c>
      <x:c r="F175" t="str">
        <x:v>BBRAUN_INFUSOMAT</x:v>
      </x:c>
      <x:c r="G175" t="str">
        <x:v>BME-BKN</x:v>
      </x:c>
      <x:c r="H175" t="str">
        <x:v>เช่ายืม</x:v>
      </x:c>
      <x:c r="I175" t="str">
        <x:v>พร้อมส่ง</x:v>
      </x:c>
      <x:c r="J175" t="str">
        <x:v>เช่ายืม</x:v>
      </x:c>
      <x:c r="K175" t="str">
        <x:v>อยู่ระหว่างเช่ายืม / เกินกำหนดคืน 60 วัน</x:v>
      </x:c>
      <x:c r="L175"/>
      <x:c r="M175" t="str">
        <x:f>IF(OR(H175="ใช้งานไม่ได้",H175="BROKEN",H175="Broken"),"ใช้งานไม่ได้",IF(OR(H175="ไม่พบในรายการ",H175="MISSING",H175="Missing"),"ไม่พบในรายการ",IF(OR(J175="เช่ายืม",J175="IN_USE",J175="IN-USE",H175="เช่ายืม"),"เช่ายืม",IF(H175="พร้อมส่ง","พร้อมส่ง","รอสอบเทียบ"))))</x:f>
        <x:v>เช่ายืม</x:v>
      </x:c>
    </x:row>
    <x:row r="176">
      <x:c r="A176" t="str">
        <x:v>281321</x:v>
      </x:c>
      <x:c r="B176" t="str">
        <x:v>281321</x:v>
      </x:c>
      <x:c r="C176" t="str">
        <x:v>B.Braun</x:v>
      </x:c>
      <x:c r="D176" t="str">
        <x:v>Infusomat Space</x:v>
      </x:c>
      <x:c r="E176" t="str">
        <x:v>Infusomat Space</x:v>
      </x:c>
      <x:c r="F176" t="str">
        <x:v>BBRAUN_INFUSOMAT</x:v>
      </x:c>
      <x:c r="G176" t="str">
        <x:v>BME-BKN</x:v>
      </x:c>
      <x:c r="H176" t="str">
        <x:v>เช่ายืม</x:v>
      </x:c>
      <x:c r="I176" t="str">
        <x:v>พร้อมส่ง</x:v>
      </x:c>
      <x:c r="J176" t="str">
        <x:v>เช่ายืม</x:v>
      </x:c>
      <x:c r="K176" t="str">
        <x:v>อยู่ระหว่างเช่ายืม / เกินกำหนดคืน 60 วัน</x:v>
      </x:c>
      <x:c r="L176"/>
      <x:c r="M176" t="str">
        <x:f>IF(OR(H176="ใช้งานไม่ได้",H176="BROKEN",H176="Broken"),"ใช้งานไม่ได้",IF(OR(H176="ไม่พบในรายการ",H176="MISSING",H176="Missing"),"ไม่พบในรายการ",IF(OR(J176="เช่ายืม",J176="IN_USE",J176="IN-USE",H176="เช่ายืม"),"เช่ายืม",IF(H176="พร้อมส่ง","พร้อมส่ง","รอสอบเทียบ"))))</x:f>
        <x:v>เช่ายืม</x:v>
      </x:c>
    </x:row>
    <x:row r="177">
      <x:c r="A177" t="str">
        <x:v>281367</x:v>
      </x:c>
      <x:c r="B177" t="str">
        <x:v>281367</x:v>
      </x:c>
      <x:c r="C177" t="str">
        <x:v>B.Braun</x:v>
      </x:c>
      <x:c r="D177" t="str">
        <x:v>Infusomat Space</x:v>
      </x:c>
      <x:c r="E177" t="str">
        <x:v>Infusomat Space</x:v>
      </x:c>
      <x:c r="F177" t="str">
        <x:v>BBRAUN_INFUSOMAT</x:v>
      </x:c>
      <x:c r="G177" t="str">
        <x:v>BME-BKN</x:v>
      </x:c>
      <x:c r="H177" t="str">
        <x:v>เช่ายืม</x:v>
      </x:c>
      <x:c r="I177" t="str">
        <x:v>พร้อมส่ง</x:v>
      </x:c>
      <x:c r="J177" t="str">
        <x:v>เช่ายืม</x:v>
      </x:c>
      <x:c r="K177" t="str">
        <x:v>อยู่ระหว่างเช่ายืม / เกินกำหนดคืน 60 วัน</x:v>
      </x:c>
      <x:c r="L177"/>
      <x:c r="M177" t="str">
        <x:f>IF(OR(H177="ใช้งานไม่ได้",H177="BROKEN",H177="Broken"),"ใช้งานไม่ได้",IF(OR(H177="ไม่พบในรายการ",H177="MISSING",H177="Missing"),"ไม่พบในรายการ",IF(OR(J177="เช่ายืม",J177="IN_USE",J177="IN-USE",H177="เช่ายืม"),"เช่ายืม",IF(H177="พร้อมส่ง","พร้อมส่ง","รอสอบเทียบ"))))</x:f>
        <x:v>เช่ายืม</x:v>
      </x:c>
    </x:row>
    <x:row r="178">
      <x:c r="A178" t="str">
        <x:v>281408</x:v>
      </x:c>
      <x:c r="B178" t="str">
        <x:v>281408</x:v>
      </x:c>
      <x:c r="C178" t="str">
        <x:v>B.Braun</x:v>
      </x:c>
      <x:c r="D178" t="str">
        <x:v>Infusomat Space</x:v>
      </x:c>
      <x:c r="E178" t="str">
        <x:v>Infusomat Space</x:v>
      </x:c>
      <x:c r="F178" t="str">
        <x:v>BBRAUN_INFUSOMAT</x:v>
      </x:c>
      <x:c r="G178" t="str">
        <x:v>BME-BKN</x:v>
      </x:c>
      <x:c r="H178" t="str">
        <x:v>เช่ายืม</x:v>
      </x:c>
      <x:c r="I178" t="str">
        <x:v>พร้อมส่ง</x:v>
      </x:c>
      <x:c r="J178" t="str">
        <x:v>เช่ายืม</x:v>
      </x:c>
      <x:c r="K178" t="str">
        <x:v>อยู่ระหว่างเช่ายืม / เกินกำหนดคืน 60 วัน</x:v>
      </x:c>
      <x:c r="L178"/>
      <x:c r="M178" t="str">
        <x:f>IF(OR(H178="ใช้งานไม่ได้",H178="BROKEN",H178="Broken"),"ใช้งานไม่ได้",IF(OR(H178="ไม่พบในรายการ",H178="MISSING",H178="Missing"),"ไม่พบในรายการ",IF(OR(J178="เช่ายืม",J178="IN_USE",J178="IN-USE",H178="เช่ายืม"),"เช่ายืม",IF(H178="พร้อมส่ง","พร้อมส่ง","รอสอบเทียบ"))))</x:f>
        <x:v>เช่ายืม</x:v>
      </x:c>
    </x:row>
    <x:row r="179">
      <x:c r="A179" t="str">
        <x:v>282538</x:v>
      </x:c>
      <x:c r="B179" t="str">
        <x:v>282538</x:v>
      </x:c>
      <x:c r="C179" t="str">
        <x:v>B.Braun</x:v>
      </x:c>
      <x:c r="D179" t="str">
        <x:v>Infusomat Space</x:v>
      </x:c>
      <x:c r="E179" t="str">
        <x:v>Infusomat Space</x:v>
      </x:c>
      <x:c r="F179" t="str">
        <x:v>BBRAUN_INFUSOMAT</x:v>
      </x:c>
      <x:c r="G179" t="str">
        <x:v>Warehouse</x:v>
      </x:c>
      <x:c r="H179" t="str">
        <x:v>รอสอบเทียบ</x:v>
      </x:c>
      <x:c r="I179" t="str">
        <x:v>รอสอบเทียบ</x:v>
      </x:c>
      <x:c r="J179" t="str">
        <x:v>ไม่มีสัญญา</x:v>
      </x:c>
      <x:c r="K179" t="str">
        <x:v>รอสอบเทียบก่อนพร้อมส่ง</x:v>
      </x:c>
      <x:c r="L179" t="str">
        <x:v>ไม่ได้เช่ายืม = รอสอบเทียบ</x:v>
      </x:c>
      <x:c r="M179" t="str">
        <x:f>IF(OR(H179="ใช้งานไม่ได้",H179="BROKEN",H179="Broken"),"ใช้งานไม่ได้",IF(OR(H179="ไม่พบในรายการ",H179="MISSING",H179="Missing"),"ไม่พบในรายการ",IF(OR(J179="เช่ายืม",J179="IN_USE",J179="IN-USE",H179="เช่ายืม"),"เช่ายืม",IF(H179="พร้อมส่ง","พร้อมส่ง","รอสอบเทียบ"))))</x:f>
        <x:v>รอสอบเทียบ</x:v>
      </x:c>
    </x:row>
    <x:row r="180">
      <x:c r="A180" t="str">
        <x:v>282577</x:v>
      </x:c>
      <x:c r="B180" t="str">
        <x:v>282577</x:v>
      </x:c>
      <x:c r="C180" t="str">
        <x:v>B.Braun</x:v>
      </x:c>
      <x:c r="D180" t="str">
        <x:v>Infusomat Space</x:v>
      </x:c>
      <x:c r="E180" t="str">
        <x:v>Infusomat Space</x:v>
      </x:c>
      <x:c r="F180" t="str">
        <x:v>BBRAUN_INFUSOMAT</x:v>
      </x:c>
      <x:c r="G180" t="str">
        <x:v>BME-BKN</x:v>
      </x:c>
      <x:c r="H180" t="str">
        <x:v>เช่ายืม</x:v>
      </x:c>
      <x:c r="I180" t="str">
        <x:v>พร้อมส่ง</x:v>
      </x:c>
      <x:c r="J180" t="str">
        <x:v>เช่ายืม</x:v>
      </x:c>
      <x:c r="K180" t="str">
        <x:v>อยู่ระหว่างเช่ายืม / เกินกำหนดคืน 60 วัน</x:v>
      </x:c>
      <x:c r="L180"/>
      <x:c r="M180" t="str">
        <x:f>IF(OR(H180="ใช้งานไม่ได้",H180="BROKEN",H180="Broken"),"ใช้งานไม่ได้",IF(OR(H180="ไม่พบในรายการ",H180="MISSING",H180="Missing"),"ไม่พบในรายการ",IF(OR(J180="เช่ายืม",J180="IN_USE",J180="IN-USE",H180="เช่ายืม"),"เช่ายืม",IF(H180="พร้อมส่ง","พร้อมส่ง","รอสอบเทียบ"))))</x:f>
        <x:v>เช่ายืม</x:v>
      </x:c>
    </x:row>
    <x:row r="181">
      <x:c r="A181" t="str">
        <x:v>282590</x:v>
      </x:c>
      <x:c r="B181" t="str">
        <x:v>282590</x:v>
      </x:c>
      <x:c r="C181" t="str">
        <x:v>B.Braun</x:v>
      </x:c>
      <x:c r="D181" t="str">
        <x:v>Infusomat Space</x:v>
      </x:c>
      <x:c r="E181" t="str">
        <x:v>Infusomat Space</x:v>
      </x:c>
      <x:c r="F181" t="str">
        <x:v>BBRAUN_INFUSOMAT</x:v>
      </x:c>
      <x:c r="G181" t="str">
        <x:v>BME-BKN</x:v>
      </x:c>
      <x:c r="H181" t="str">
        <x:v>เช่ายืม</x:v>
      </x:c>
      <x:c r="I181" t="str">
        <x:v>พร้อมส่ง</x:v>
      </x:c>
      <x:c r="J181" t="str">
        <x:v>เช่ายืม</x:v>
      </x:c>
      <x:c r="K181" t="str">
        <x:v>อยู่ระหว่างเช่ายืม / เกินกำหนดคืน 60 วัน</x:v>
      </x:c>
      <x:c r="L181"/>
      <x:c r="M181" t="str">
        <x:f>IF(OR(H181="ใช้งานไม่ได้",H181="BROKEN",H181="Broken"),"ใช้งานไม่ได้",IF(OR(H181="ไม่พบในรายการ",H181="MISSING",H181="Missing"),"ไม่พบในรายการ",IF(OR(J181="เช่ายืม",J181="IN_USE",J181="IN-USE",H181="เช่ายืม"),"เช่ายืม",IF(H181="พร้อมส่ง","พร้อมส่ง","รอสอบเทียบ"))))</x:f>
        <x:v>เช่ายืม</x:v>
      </x:c>
    </x:row>
    <x:row r="182">
      <x:c r="A182" t="str">
        <x:v>284641</x:v>
      </x:c>
      <x:c r="B182" t="str">
        <x:v>284641</x:v>
      </x:c>
      <x:c r="C182" t="str">
        <x:v>B.Braun</x:v>
      </x:c>
      <x:c r="D182" t="str">
        <x:v>Infusomat Space</x:v>
      </x:c>
      <x:c r="E182" t="str">
        <x:v>Infusomat Space</x:v>
      </x:c>
      <x:c r="F182" t="str">
        <x:v>BBRAUN_INFUSOMAT</x:v>
      </x:c>
      <x:c r="G182" t="str">
        <x:v>Warehouse</x:v>
      </x:c>
      <x:c r="H182" t="str">
        <x:v>รอสอบเทียบ</x:v>
      </x:c>
      <x:c r="I182" t="str">
        <x:v>รอสอบเทียบ</x:v>
      </x:c>
      <x:c r="J182" t="str">
        <x:v>ไม่มีสัญญา</x:v>
      </x:c>
      <x:c r="K182" t="str">
        <x:v>รอสอบเทียบก่อนพร้อมส่ง</x:v>
      </x:c>
      <x:c r="L182" t="str">
        <x:v>ไม่ได้เช่ายืม = รอสอบเทียบ</x:v>
      </x:c>
      <x:c r="M182" t="str">
        <x:f>IF(OR(H182="ใช้งานไม่ได้",H182="BROKEN",H182="Broken"),"ใช้งานไม่ได้",IF(OR(H182="ไม่พบในรายการ",H182="MISSING",H182="Missing"),"ไม่พบในรายการ",IF(OR(J182="เช่ายืม",J182="IN_USE",J182="IN-USE",H182="เช่ายืม"),"เช่ายืม",IF(H182="พร้อมส่ง","พร้อมส่ง","รอสอบเทียบ"))))</x:f>
        <x:v>รอสอบเทียบ</x:v>
      </x:c>
    </x:row>
    <x:row r="183">
      <x:c r="A183" t="str">
        <x:v>SN_284685</x:v>
      </x:c>
      <x:c r="B183" t="str">
        <x:v>284685</x:v>
      </x:c>
      <x:c r="C183" t="str">
        <x:v>B.Braun</x:v>
      </x:c>
      <x:c r="D183" t="str">
        <x:v>Infusomat Space</x:v>
      </x:c>
      <x:c r="E183" t="str">
        <x:v>Infusomat Space</x:v>
      </x:c>
      <x:c r="F183" t="str">
        <x:v>BBRAUN_INFUSOMAT</x:v>
      </x:c>
      <x:c r="G183" t="str">
        <x:v>Warehouse</x:v>
      </x:c>
      <x:c r="H183" t="str">
        <x:v>รอสอบเทียบ</x:v>
      </x:c>
      <x:c r="I183" t="str">
        <x:v>รอสอบเทียบ</x:v>
      </x:c>
      <x:c r="J183" t="str">
        <x:v>ไม่มีสัญญา</x:v>
      </x:c>
      <x:c r="K183" t="str">
        <x:v>รอสอบเทียบก่อนพร้อมส่ง</x:v>
      </x:c>
      <x:c r="L183" t="str">
        <x:v>ไม่ได้เช่ายืม = รอสอบเทียบ</x:v>
      </x:c>
      <x:c r="M183" t="str">
        <x:f>IF(OR(H183="ใช้งานไม่ได้",H183="BROKEN",H183="Broken"),"ใช้งานไม่ได้",IF(OR(H183="ไม่พบในรายการ",H183="MISSING",H183="Missing"),"ไม่พบในรายการ",IF(OR(J183="เช่ายืม",J183="IN_USE",J183="IN-USE",H183="เช่ายืม"),"เช่ายืม",IF(H183="พร้อมส่ง","พร้อมส่ง","รอสอบเทียบ"))))</x:f>
        <x:v>รอสอบเทียบ</x:v>
      </x:c>
    </x:row>
    <x:row r="184">
      <x:c r="A184" t="str">
        <x:v>284728</x:v>
      </x:c>
      <x:c r="B184" t="str">
        <x:v>284728</x:v>
      </x:c>
      <x:c r="C184" t="str">
        <x:v>B.Braun</x:v>
      </x:c>
      <x:c r="D184" t="str">
        <x:v>Infusomat Space</x:v>
      </x:c>
      <x:c r="E184" t="str">
        <x:v>Infusomat Space</x:v>
      </x:c>
      <x:c r="F184" t="str">
        <x:v>BBRAUN_INFUSOMAT</x:v>
      </x:c>
      <x:c r="G184" t="str">
        <x:v>Warehouse</x:v>
      </x:c>
      <x:c r="H184" t="str">
        <x:v>รอสอบเทียบ</x:v>
      </x:c>
      <x:c r="I184" t="str">
        <x:v>รอสอบเทียบ</x:v>
      </x:c>
      <x:c r="J184" t="str">
        <x:v>ไม่มีสัญญา</x:v>
      </x:c>
      <x:c r="K184" t="str">
        <x:v>รอสอบเทียบก่อนพร้อมส่ง</x:v>
      </x:c>
      <x:c r="L184" t="str">
        <x:v>ไม่ได้เช่ายืม = รอสอบเทียบ</x:v>
      </x:c>
      <x:c r="M184" t="str">
        <x:f>IF(OR(H184="ใช้งานไม่ได้",H184="BROKEN",H184="Broken"),"ใช้งานไม่ได้",IF(OR(H184="ไม่พบในรายการ",H184="MISSING",H184="Missing"),"ไม่พบในรายการ",IF(OR(J184="เช่ายืม",J184="IN_USE",J184="IN-USE",H184="เช่ายืม"),"เช่ายืม",IF(H184="พร้อมส่ง","พร้อมส่ง","รอสอบเทียบ"))))</x:f>
        <x:v>รอสอบเทียบ</x:v>
      </x:c>
    </x:row>
    <x:row r="185">
      <x:c r="A185" t="str">
        <x:v>284741</x:v>
      </x:c>
      <x:c r="B185" t="str">
        <x:v>284741</x:v>
      </x:c>
      <x:c r="C185" t="str">
        <x:v>B.Braun</x:v>
      </x:c>
      <x:c r="D185" t="str">
        <x:v>Infusomat Space</x:v>
      </x:c>
      <x:c r="E185" t="str">
        <x:v>Infusomat Space</x:v>
      </x:c>
      <x:c r="F185" t="str">
        <x:v>BBRAUN_INFUSOMAT</x:v>
      </x:c>
      <x:c r="G185" t="str">
        <x:v>BME-BKN</x:v>
      </x:c>
      <x:c r="H185" t="str">
        <x:v>เช่ายืม</x:v>
      </x:c>
      <x:c r="I185" t="str">
        <x:v>พร้อมส่ง</x:v>
      </x:c>
      <x:c r="J185" t="str">
        <x:v>เช่ายืม</x:v>
      </x:c>
      <x:c r="K185" t="str">
        <x:v>อยู่ระหว่างเช่ายืม / เกินกำหนดคืน 60 วัน</x:v>
      </x:c>
      <x:c r="L185"/>
      <x:c r="M185" t="str">
        <x:f>IF(OR(H185="ใช้งานไม่ได้",H185="BROKEN",H185="Broken"),"ใช้งานไม่ได้",IF(OR(H185="ไม่พบในรายการ",H185="MISSING",H185="Missing"),"ไม่พบในรายการ",IF(OR(J185="เช่ายืม",J185="IN_USE",J185="IN-USE",H185="เช่ายืม"),"เช่ายืม",IF(H185="พร้อมส่ง","พร้อมส่ง","รอสอบเทียบ"))))</x:f>
        <x:v>เช่ายืม</x:v>
      </x:c>
    </x:row>
    <x:row r="186">
      <x:c r="A186" t="str">
        <x:v>284796</x:v>
      </x:c>
      <x:c r="B186" t="str">
        <x:v>284796</x:v>
      </x:c>
      <x:c r="C186" t="str">
        <x:v>B.Braun</x:v>
      </x:c>
      <x:c r="D186" t="str">
        <x:v>Infusomat Space</x:v>
      </x:c>
      <x:c r="E186" t="str">
        <x:v>Infusomat Space</x:v>
      </x:c>
      <x:c r="F186" t="str">
        <x:v>BBRAUN_INFUSOMAT</x:v>
      </x:c>
      <x:c r="G186" t="str">
        <x:v>BME-BKN</x:v>
      </x:c>
      <x:c r="H186" t="str">
        <x:v>เช่ายืม</x:v>
      </x:c>
      <x:c r="I186" t="str">
        <x:v>พร้อมส่ง</x:v>
      </x:c>
      <x:c r="J186" t="str">
        <x:v>เช่ายืม</x:v>
      </x:c>
      <x:c r="K186" t="str">
        <x:v>อยู่ระหว่างเช่ายืม / เกินกำหนดคืน 60 วัน</x:v>
      </x:c>
      <x:c r="L186"/>
      <x:c r="M186" t="str">
        <x:f>IF(OR(H186="ใช้งานไม่ได้",H186="BROKEN",H186="Broken"),"ใช้งานไม่ได้",IF(OR(H186="ไม่พบในรายการ",H186="MISSING",H186="Missing"),"ไม่พบในรายการ",IF(OR(J186="เช่ายืม",J186="IN_USE",J186="IN-USE",H186="เช่ายืม"),"เช่ายืม",IF(H186="พร้อมส่ง","พร้อมส่ง","รอสอบเทียบ"))))</x:f>
        <x:v>เช่ายืม</x:v>
      </x:c>
    </x:row>
    <x:row r="187">
      <x:c r="A187" t="str">
        <x:v>292341</x:v>
      </x:c>
      <x:c r="B187" t="str">
        <x:v>292341</x:v>
      </x:c>
      <x:c r="C187" t="str">
        <x:v>B.Braun</x:v>
      </x:c>
      <x:c r="D187" t="str">
        <x:v>Infusomat Space</x:v>
      </x:c>
      <x:c r="E187" t="str">
        <x:v>Infusomat Space</x:v>
      </x:c>
      <x:c r="F187" t="str">
        <x:v>BBRAUN_INFUSOMAT</x:v>
      </x:c>
      <x:c r="G187" t="str">
        <x:v>โรงพยาบาลเปาโล พระประแดง</x:v>
      </x:c>
      <x:c r="H187" t="str">
        <x:v>เช่ายืม</x:v>
      </x:c>
      <x:c r="I187" t="str">
        <x:v>พร้อมส่ง</x:v>
      </x:c>
      <x:c r="J187" t="str">
        <x:v>เช่ายืม</x:v>
      </x:c>
      <x:c r="K187" t="str">
        <x:v>อยู่ระหว่างเช่ายืม / เกินกำหนดคืน 135 วัน</x:v>
      </x:c>
      <x:c r="L187"/>
      <x:c r="M187" t="str">
        <x:f>IF(OR(H187="ใช้งานไม่ได้",H187="BROKEN",H187="Broken"),"ใช้งานไม่ได้",IF(OR(H187="ไม่พบในรายการ",H187="MISSING",H187="Missing"),"ไม่พบในรายการ",IF(OR(J187="เช่ายืม",J187="IN_USE",J187="IN-USE",H187="เช่ายืม"),"เช่ายืม",IF(H187="พร้อมส่ง","พร้อมส่ง","รอสอบเทียบ"))))</x:f>
        <x:v>เช่ายืม</x:v>
      </x:c>
    </x:row>
    <x:row r="188">
      <x:c r="A188" t="str">
        <x:v>292345</x:v>
      </x:c>
      <x:c r="B188" t="str">
        <x:v>292345</x:v>
      </x:c>
      <x:c r="C188" t="str">
        <x:v>B.Braun</x:v>
      </x:c>
      <x:c r="D188" t="str">
        <x:v>Infusomat Space</x:v>
      </x:c>
      <x:c r="E188" t="str">
        <x:v>Infusomat Space</x:v>
      </x:c>
      <x:c r="F188" t="str">
        <x:v>BBRAUN_INFUSOMAT</x:v>
      </x:c>
      <x:c r="G188" t="str">
        <x:v>โรงพยาบาลเปาโล พระประแดง</x:v>
      </x:c>
      <x:c r="H188" t="str">
        <x:v>เช่ายืม</x:v>
      </x:c>
      <x:c r="I188" t="str">
        <x:v>พร้อมส่ง</x:v>
      </x:c>
      <x:c r="J188" t="str">
        <x:v>เช่ายืม</x:v>
      </x:c>
      <x:c r="K188" t="str">
        <x:v>อยู่ระหว่างเช่ายืม / เกินกำหนดคืน 300 วัน</x:v>
      </x:c>
      <x:c r="L188"/>
      <x:c r="M188" t="str">
        <x:f>IF(OR(H188="ใช้งานไม่ได้",H188="BROKEN",H188="Broken"),"ใช้งานไม่ได้",IF(OR(H188="ไม่พบในรายการ",H188="MISSING",H188="Missing"),"ไม่พบในรายการ",IF(OR(J188="เช่ายืม",J188="IN_USE",J188="IN-USE",H188="เช่ายืม"),"เช่ายืม",IF(H188="พร้อมส่ง","พร้อมส่ง","รอสอบเทียบ"))))</x:f>
        <x:v>เช่ายืม</x:v>
      </x:c>
    </x:row>
    <x:row r="189">
      <x:c r="A189" t="str">
        <x:v>SN_292349</x:v>
      </x:c>
      <x:c r="B189" t="str">
        <x:v>292349</x:v>
      </x:c>
      <x:c r="C189" t="str">
        <x:v>B.Braun</x:v>
      </x:c>
      <x:c r="D189" t="str">
        <x:v>Infusomat Space</x:v>
      </x:c>
      <x:c r="E189" t="str">
        <x:v>Infusomat Space</x:v>
      </x:c>
      <x:c r="F189" t="str">
        <x:v>BBRAUN_INFUSOMAT</x:v>
      </x:c>
      <x:c r="G189" t="str">
        <x:v>Warehouse</x:v>
      </x:c>
      <x:c r="H189" t="str">
        <x:v>รอสอบเทียบ</x:v>
      </x:c>
      <x:c r="I189" t="str">
        <x:v>รอสอบเทียบ</x:v>
      </x:c>
      <x:c r="J189" t="str">
        <x:v>ไม่มีสัญญา</x:v>
      </x:c>
      <x:c r="K189" t="str">
        <x:v>รอสอบเทียบก่อนพร้อมส่ง</x:v>
      </x:c>
      <x:c r="L189" t="str">
        <x:v>ไม่ได้เช่ายืม = รอสอบเทียบ</x:v>
      </x:c>
      <x:c r="M189" t="str">
        <x:f>IF(OR(H189="ใช้งานไม่ได้",H189="BROKEN",H189="Broken"),"ใช้งานไม่ได้",IF(OR(H189="ไม่พบในรายการ",H189="MISSING",H189="Missing"),"ไม่พบในรายการ",IF(OR(J189="เช่ายืม",J189="IN_USE",J189="IN-USE",H189="เช่ายืม"),"เช่ายืม",IF(H189="พร้อมส่ง","พร้อมส่ง","รอสอบเทียบ"))))</x:f>
        <x:v>รอสอบเทียบ</x:v>
      </x:c>
    </x:row>
    <x:row r="190">
      <x:c r="A190" t="str">
        <x:v>292368</x:v>
      </x:c>
      <x:c r="B190" t="str">
        <x:v>NHBED172</x:v>
      </x:c>
      <x:c r="C190" t="str">
        <x:v>B.Braun</x:v>
      </x:c>
      <x:c r="D190" t="str">
        <x:v>Infusomat Space</x:v>
      </x:c>
      <x:c r="E190" t="str">
        <x:v>Infusomat Space</x:v>
      </x:c>
      <x:c r="F190" t="str">
        <x:v>BBRAUN_INFUSOMAT</x:v>
      </x:c>
      <x:c r="G190" t="str">
        <x:v>รพ.เชียงรายประชานุเคราะห์</x:v>
      </x:c>
      <x:c r="H190" t="str">
        <x:v>เช่ายืม</x:v>
      </x:c>
      <x:c r="I190" t="str">
        <x:v>พร้อมส่ง</x:v>
      </x:c>
      <x:c r="J190" t="str">
        <x:v>เช่ายืม</x:v>
      </x:c>
      <x:c r="K190" t="str">
        <x:v>No action</x:v>
      </x:c>
      <x:c r="L190"/>
      <x:c r="M190" t="str">
        <x:f>IF(OR(H190="ใช้งานไม่ได้",H190="BROKEN",H190="Broken"),"ใช้งานไม่ได้",IF(OR(H190="ไม่พบในรายการ",H190="MISSING",H190="Missing"),"ไม่พบในรายการ",IF(OR(J190="เช่ายืม",J190="IN_USE",J190="IN-USE",H190="เช่ายืม"),"เช่ายืม",IF(H190="พร้อมส่ง","พร้อมส่ง","รอสอบเทียบ"))))</x:f>
        <x:v>เช่ายืม</x:v>
      </x:c>
    </x:row>
    <x:row r="191">
      <x:c r="A191" t="str">
        <x:v>292414</x:v>
      </x:c>
      <x:c r="B191" t="str">
        <x:v>292414</x:v>
      </x:c>
      <x:c r="C191" t="str">
        <x:v>B.Braun</x:v>
      </x:c>
      <x:c r="D191" t="str">
        <x:v>Infusomat Space</x:v>
      </x:c>
      <x:c r="E191" t="str">
        <x:v>Infusomat Space</x:v>
      </x:c>
      <x:c r="F191" t="str">
        <x:v>BBRAUN_INFUSOMAT</x:v>
      </x:c>
      <x:c r="G191" t="str">
        <x:v>Warehouse</x:v>
      </x:c>
      <x:c r="H191" t="str">
        <x:v>รอสอบเทียบ</x:v>
      </x:c>
      <x:c r="I191" t="str">
        <x:v>รอสอบเทียบ</x:v>
      </x:c>
      <x:c r="J191" t="str">
        <x:v>ไม่มีสัญญา</x:v>
      </x:c>
      <x:c r="K191" t="str">
        <x:v>รอสอบเทียบก่อนพร้อมส่ง</x:v>
      </x:c>
      <x:c r="L191" t="str">
        <x:v>ไม่ได้เช่ายืม = รอสอบเทียบ</x:v>
      </x:c>
      <x:c r="M191" t="str">
        <x:f>IF(OR(H191="ใช้งานไม่ได้",H191="BROKEN",H191="Broken"),"ใช้งานไม่ได้",IF(OR(H191="ไม่พบในรายการ",H191="MISSING",H191="Missing"),"ไม่พบในรายการ",IF(OR(J191="เช่ายืม",J191="IN_USE",J191="IN-USE",H191="เช่ายืม"),"เช่ายืม",IF(H191="พร้อมส่ง","พร้อมส่ง","รอสอบเทียบ"))))</x:f>
        <x:v>รอสอบเทียบ</x:v>
      </x:c>
    </x:row>
    <x:row r="192">
      <x:c r="A192" t="str">
        <x:v>292421</x:v>
      </x:c>
      <x:c r="B192" t="str">
        <x:v>292421</x:v>
      </x:c>
      <x:c r="C192" t="str">
        <x:v>B.Braun</x:v>
      </x:c>
      <x:c r="D192" t="str">
        <x:v>Infusomat Space</x:v>
      </x:c>
      <x:c r="E192" t="str">
        <x:v>Infusomat Space</x:v>
      </x:c>
      <x:c r="F192" t="str">
        <x:v>BBRAUN_INFUSOMAT</x:v>
      </x:c>
      <x:c r="G192" t="str">
        <x:v>ABSOLUTE HEALTH CLINIC</x:v>
      </x:c>
      <x:c r="H192" t="str">
        <x:v>เช่ายืม</x:v>
      </x:c>
      <x:c r="I192" t="str">
        <x:v>พร้อมส่ง</x:v>
      </x:c>
      <x:c r="J192" t="str">
        <x:v>เช่ายืม</x:v>
      </x:c>
      <x:c r="K192" t="str">
        <x:v>อยู่ระหว่างเช่ายืม / เกินกำหนดคืน 90 วัน</x:v>
      </x:c>
      <x:c r="L192"/>
      <x:c r="M192" t="str">
        <x:f>IF(OR(H192="ใช้งานไม่ได้",H192="BROKEN",H192="Broken"),"ใช้งานไม่ได้",IF(OR(H192="ไม่พบในรายการ",H192="MISSING",H192="Missing"),"ไม่พบในรายการ",IF(OR(J192="เช่ายืม",J192="IN_USE",J192="IN-USE",H192="เช่ายืม"),"เช่ายืม",IF(H192="พร้อมส่ง","พร้อมส่ง","รอสอบเทียบ"))))</x:f>
        <x:v>เช่ายืม</x:v>
      </x:c>
    </x:row>
    <x:row r="193">
      <x:c r="A193" t="str">
        <x:v>292437</x:v>
      </x:c>
      <x:c r="B193" t="str">
        <x:v>292437</x:v>
      </x:c>
      <x:c r="C193" t="str">
        <x:v>B.Braun</x:v>
      </x:c>
      <x:c r="D193" t="str">
        <x:v>Infusomat Space</x:v>
      </x:c>
      <x:c r="E193" t="str">
        <x:v>Infusomat Space</x:v>
      </x:c>
      <x:c r="F193" t="str">
        <x:v>BBRAUN_INFUSOMAT</x:v>
      </x:c>
      <x:c r="G193" t="str">
        <x:v>รพ.เชียงรายประชานุเคราะห์</x:v>
      </x:c>
      <x:c r="H193" t="str">
        <x:v>เช่ายืม</x:v>
      </x:c>
      <x:c r="I193" t="str">
        <x:v>พร้อมส่ง</x:v>
      </x:c>
      <x:c r="J193" t="str">
        <x:v>เช่ายืม</x:v>
      </x:c>
      <x:c r="K193" t="str">
        <x:v>อยู่ระหว่างเช่ายืม / เกินกำหนดคืน 275 วัน</x:v>
      </x:c>
      <x:c r="L193"/>
      <x:c r="M193" t="str">
        <x:f>IF(OR(H193="ใช้งานไม่ได้",H193="BROKEN",H193="Broken"),"ใช้งานไม่ได้",IF(OR(H193="ไม่พบในรายการ",H193="MISSING",H193="Missing"),"ไม่พบในรายการ",IF(OR(J193="เช่ายืม",J193="IN_USE",J193="IN-USE",H193="เช่ายืม"),"เช่ายืม",IF(H193="พร้อมส่ง","พร้อมส่ง","รอสอบเทียบ"))))</x:f>
        <x:v>เช่ายืม</x:v>
      </x:c>
    </x:row>
    <x:row r="194">
      <x:c r="A194" t="str">
        <x:v>29646</x:v>
      </x:c>
      <x:c r="B194" t="str">
        <x:v>29646</x:v>
      </x:c>
      <x:c r="C194" t="str">
        <x:v>B.Braun</x:v>
      </x:c>
      <x:c r="D194" t="str">
        <x:v>Infusomat Space</x:v>
      </x:c>
      <x:c r="E194" t="str">
        <x:v>Infusomat Space</x:v>
      </x:c>
      <x:c r="F194" t="str">
        <x:v>BBRAUN_INFUSOMAT</x:v>
      </x:c>
      <x:c r="G194" t="str">
        <x:v>Warehouse</x:v>
      </x:c>
      <x:c r="H194" t="str">
        <x:v>รอสอบเทียบ</x:v>
      </x:c>
      <x:c r="I194" t="str">
        <x:v>รอสอบเทียบ</x:v>
      </x:c>
      <x:c r="J194" t="str">
        <x:v>ไม่มีสัญญา</x:v>
      </x:c>
      <x:c r="K194" t="str">
        <x:v>รอสอบเทียบก่อนพร้อมส่ง</x:v>
      </x:c>
      <x:c r="L194" t="str">
        <x:v>ไม่ได้เช่ายืม = รอสอบเทียบ</x:v>
      </x:c>
      <x:c r="M194" t="str">
        <x:f>IF(OR(H194="ใช้งานไม่ได้",H194="BROKEN",H194="Broken"),"ใช้งานไม่ได้",IF(OR(H194="ไม่พบในรายการ",H194="MISSING",H194="Missing"),"ไม่พบในรายการ",IF(OR(J194="เช่ายืม",J194="IN_USE",J194="IN-USE",H194="เช่ายืม"),"เช่ายืม",IF(H194="พร้อมส่ง","พร้อมส่ง","รอสอบเทียบ"))))</x:f>
        <x:v>รอสอบเทียบ</x:v>
      </x:c>
    </x:row>
    <x:row r="195">
      <x:c r="A195" t="str">
        <x:v>30870</x:v>
      </x:c>
      <x:c r="B195" t="str">
        <x:v>30870</x:v>
      </x:c>
      <x:c r="C195" t="str">
        <x:v>B.Braun</x:v>
      </x:c>
      <x:c r="D195" t="str">
        <x:v>Infusomat Space</x:v>
      </x:c>
      <x:c r="E195" t="str">
        <x:v>Infusomat Space</x:v>
      </x:c>
      <x:c r="F195" t="str">
        <x:v>BBRAUN_INFUSOMAT</x:v>
      </x:c>
      <x:c r="G195" t="str">
        <x:v>BCM</x:v>
      </x:c>
      <x:c r="H195" t="str">
        <x:v>เช่ายืม</x:v>
      </x:c>
      <x:c r="I195" t="str">
        <x:v>พร้อมส่ง</x:v>
      </x:c>
      <x:c r="J195" t="str">
        <x:v>เช่ายืม</x:v>
      </x:c>
      <x:c r="K195" t="str">
        <x:v>อยู่ระหว่างเช่ายืม / เกินกำหนดคืน 39 วัน</x:v>
      </x:c>
      <x:c r="L195"/>
      <x:c r="M195" t="str">
        <x:f>IF(OR(H195="ใช้งานไม่ได้",H195="BROKEN",H195="Broken"),"ใช้งานไม่ได้",IF(OR(H195="ไม่พบในรายการ",H195="MISSING",H195="Missing"),"ไม่พบในรายการ",IF(OR(J195="เช่ายืม",J195="IN_USE",J195="IN-USE",H195="เช่ายืม"),"เช่ายืม",IF(H195="พร้อมส่ง","พร้อมส่ง","รอสอบเทียบ"))))</x:f>
        <x:v>เช่ายืม</x:v>
      </x:c>
    </x:row>
    <x:row r="196">
      <x:c r="A196" t="str">
        <x:v>31104</x:v>
      </x:c>
      <x:c r="B196" t="str">
        <x:v>31104</x:v>
      </x:c>
      <x:c r="C196" t="str">
        <x:v>B.Braun</x:v>
      </x:c>
      <x:c r="D196" t="str">
        <x:v>Infusomat Space</x:v>
      </x:c>
      <x:c r="E196" t="str">
        <x:v>Infusomat Space</x:v>
      </x:c>
      <x:c r="F196" t="str">
        <x:v>BBRAUN_INFUSOMAT</x:v>
      </x:c>
      <x:c r="G196" t="str">
        <x:v>BCM</x:v>
      </x:c>
      <x:c r="H196" t="str">
        <x:v>เช่ายืม</x:v>
      </x:c>
      <x:c r="I196" t="str">
        <x:v>พร้อมส่ง</x:v>
      </x:c>
      <x:c r="J196" t="str">
        <x:v>เช่ายืม</x:v>
      </x:c>
      <x:c r="K196" t="str">
        <x:v>อยู่ระหว่างเช่ายืม / เกินกำหนดคืน 39 วัน</x:v>
      </x:c>
      <x:c r="L196"/>
      <x:c r="M196" t="str">
        <x:f>IF(OR(H196="ใช้งานไม่ได้",H196="BROKEN",H196="Broken"),"ใช้งานไม่ได้",IF(OR(H196="ไม่พบในรายการ",H196="MISSING",H196="Missing"),"ไม่พบในรายการ",IF(OR(J196="เช่ายืม",J196="IN_USE",J196="IN-USE",H196="เช่ายืม"),"เช่ายืม",IF(H196="พร้อมส่ง","พร้อมส่ง","รอสอบเทียบ"))))</x:f>
        <x:v>เช่ายืม</x:v>
      </x:c>
    </x:row>
    <x:row r="197">
      <x:c r="A197" t="str">
        <x:v>31132</x:v>
      </x:c>
      <x:c r="B197" t="str">
        <x:v>31132</x:v>
      </x:c>
      <x:c r="C197" t="str">
        <x:v>B.Braun</x:v>
      </x:c>
      <x:c r="D197" t="str">
        <x:v>Infusomat Space</x:v>
      </x:c>
      <x:c r="E197" t="str">
        <x:v>Infusomat Space</x:v>
      </x:c>
      <x:c r="F197" t="str">
        <x:v>BBRAUN_INFUSOMAT</x:v>
      </x:c>
      <x:c r="G197" t="str">
        <x:v>BCM</x:v>
      </x:c>
      <x:c r="H197" t="str">
        <x:v>เช่ายืม</x:v>
      </x:c>
      <x:c r="I197" t="str">
        <x:v>พร้อมส่ง</x:v>
      </x:c>
      <x:c r="J197" t="str">
        <x:v>เช่ายืม</x:v>
      </x:c>
      <x:c r="K197" t="str">
        <x:v>อยู่ระหว่างเช่ายืม / เกินกำหนดคืน 39 วัน</x:v>
      </x:c>
      <x:c r="L197"/>
      <x:c r="M197" t="str">
        <x:f>IF(OR(H197="ใช้งานไม่ได้",H197="BROKEN",H197="Broken"),"ใช้งานไม่ได้",IF(OR(H197="ไม่พบในรายการ",H197="MISSING",H197="Missing"),"ไม่พบในรายการ",IF(OR(J197="เช่ายืม",J197="IN_USE",J197="IN-USE",H197="เช่ายืม"),"เช่ายืม",IF(H197="พร้อมส่ง","พร้อมส่ง","รอสอบเทียบ"))))</x:f>
        <x:v>เช่ายืม</x:v>
      </x:c>
    </x:row>
    <x:row r="198">
      <x:c r="A198" t="str">
        <x:v>334193</x:v>
      </x:c>
      <x:c r="B198" t="str">
        <x:v>NHBB0210</x:v>
      </x:c>
      <x:c r="C198" t="str">
        <x:v>B.Braun</x:v>
      </x:c>
      <x:c r="D198" t="str">
        <x:v>Infusomat Space</x:v>
      </x:c>
      <x:c r="E198" t="str">
        <x:v>Infusomat Space</x:v>
      </x:c>
      <x:c r="F198" t="str">
        <x:v>BBRAUN_INFUSOMAT</x:v>
      </x:c>
      <x:c r="G198" t="str">
        <x:v>รับคืนจาก Viva</x:v>
      </x:c>
      <x:c r="H198" t="str">
        <x:v>เช่ายืม</x:v>
      </x:c>
      <x:c r="I198" t="str">
        <x:v>พร้อมส่ง</x:v>
      </x:c>
      <x:c r="J198" t="str">
        <x:v>เช่ายืม</x:v>
      </x:c>
      <x:c r="K198" t="str">
        <x:v>No action</x:v>
      </x:c>
      <x:c r="L198"/>
      <x:c r="M198" t="str">
        <x:f>IF(OR(H198="ใช้งานไม่ได้",H198="BROKEN",H198="Broken"),"ใช้งานไม่ได้",IF(OR(H198="ไม่พบในรายการ",H198="MISSING",H198="Missing"),"ไม่พบในรายการ",IF(OR(J198="เช่ายืม",J198="IN_USE",J198="IN-USE",H198="เช่ายืม"),"เช่ายืม",IF(H198="พร้อมส่ง","พร้อมส่ง","รอสอบเทียบ"))))</x:f>
        <x:v>เช่ายืม</x:v>
      </x:c>
    </x:row>
    <x:row r="199">
      <x:c r="A199" t="str">
        <x:v>334228</x:v>
      </x:c>
      <x:c r="B199" t="str">
        <x:v>334228</x:v>
      </x:c>
      <x:c r="C199" t="str">
        <x:v>B.Braun</x:v>
      </x:c>
      <x:c r="D199" t="str">
        <x:v>Infusomat Space</x:v>
      </x:c>
      <x:c r="E199" t="str">
        <x:v>Infusomat Space</x:v>
      </x:c>
      <x:c r="F199" t="str">
        <x:v>BBRAUN_INFUSOMAT</x:v>
      </x:c>
      <x:c r="G199" t="str">
        <x:v>Warehouse</x:v>
      </x:c>
      <x:c r="H199" t="str">
        <x:v>รอสอบเทียบ</x:v>
      </x:c>
      <x:c r="I199" t="str">
        <x:v>รอสอบเทียบ</x:v>
      </x:c>
      <x:c r="J199" t="str">
        <x:v>ไม่มีสัญญา</x:v>
      </x:c>
      <x:c r="K199" t="str">
        <x:v>รอสอบเทียบก่อนพร้อมส่ง</x:v>
      </x:c>
      <x:c r="L199" t="str">
        <x:v>ไม่ได้เช่ายืม = รอสอบเทียบ</x:v>
      </x:c>
      <x:c r="M199" t="str">
        <x:f>IF(OR(H199="ใช้งานไม่ได้",H199="BROKEN",H199="Broken"),"ใช้งานไม่ได้",IF(OR(H199="ไม่พบในรายการ",H199="MISSING",H199="Missing"),"ไม่พบในรายการ",IF(OR(J199="เช่ายืม",J199="IN_USE",J199="IN-USE",H199="เช่ายืม"),"เช่ายืม",IF(H199="พร้อมส่ง","พร้อมส่ง","รอสอบเทียบ"))))</x:f>
        <x:v>รอสอบเทียบ</x:v>
      </x:c>
    </x:row>
    <x:row r="200">
      <x:c r="A200" t="str">
        <x:v>334237</x:v>
      </x:c>
      <x:c r="B200" t="str">
        <x:v>334237</x:v>
      </x:c>
      <x:c r="C200" t="str">
        <x:v>B.Braun</x:v>
      </x:c>
      <x:c r="D200" t="str">
        <x:v>Infusomat Space</x:v>
      </x:c>
      <x:c r="E200" t="str">
        <x:v>Infusomat Space</x:v>
      </x:c>
      <x:c r="F200" t="str">
        <x:v>BBRAUN_INFUSOMAT</x:v>
      </x:c>
      <x:c r="G200" t="str">
        <x:v>Warehouse</x:v>
      </x:c>
      <x:c r="H200" t="str">
        <x:v>รอสอบเทียบ</x:v>
      </x:c>
      <x:c r="I200" t="str">
        <x:v>รอสอบเทียบ</x:v>
      </x:c>
      <x:c r="J200" t="str">
        <x:v>ไม่มีสัญญา</x:v>
      </x:c>
      <x:c r="K200" t="str">
        <x:v>รอสอบเทียบก่อนพร้อมส่ง</x:v>
      </x:c>
      <x:c r="L200" t="str">
        <x:v>ไม่ได้เช่ายืม = รอสอบเทียบ</x:v>
      </x:c>
      <x:c r="M200" t="str">
        <x:f>IF(OR(H200="ใช้งานไม่ได้",H200="BROKEN",H200="Broken"),"ใช้งานไม่ได้",IF(OR(H200="ไม่พบในรายการ",H200="MISSING",H200="Missing"),"ไม่พบในรายการ",IF(OR(J200="เช่ายืม",J200="IN_USE",J200="IN-USE",H200="เช่ายืม"),"เช่ายืม",IF(H200="พร้อมส่ง","พร้อมส่ง","รอสอบเทียบ"))))</x:f>
        <x:v>รอสอบเทียบ</x:v>
      </x:c>
    </x:row>
    <x:row r="201">
      <x:c r="A201" t="str">
        <x:v>334242</x:v>
      </x:c>
      <x:c r="B201" t="str">
        <x:v>334242</x:v>
      </x:c>
      <x:c r="C201" t="str">
        <x:v>B.Braun</x:v>
      </x:c>
      <x:c r="D201" t="str">
        <x:v>Infusomat Space</x:v>
      </x:c>
      <x:c r="E201" t="str">
        <x:v>Infusomat Space</x:v>
      </x:c>
      <x:c r="F201" t="str">
        <x:v>BBRAUN_INFUSOMAT</x:v>
      </x:c>
      <x:c r="G201" t="str">
        <x:v>Warehouse</x:v>
      </x:c>
      <x:c r="H201" t="str">
        <x:v>รอสอบเทียบ</x:v>
      </x:c>
      <x:c r="I201" t="str">
        <x:v>รอสอบเทียบ</x:v>
      </x:c>
      <x:c r="J201" t="str">
        <x:v>ไม่มีสัญญา</x:v>
      </x:c>
      <x:c r="K201" t="str">
        <x:v>รอสอบเทียบก่อนพร้อมส่ง</x:v>
      </x:c>
      <x:c r="L201" t="str">
        <x:v>ไม่ได้เช่ายืม = รอสอบเทียบ</x:v>
      </x:c>
      <x:c r="M201" t="str">
        <x:f>IF(OR(H201="ใช้งานไม่ได้",H201="BROKEN",H201="Broken"),"ใช้งานไม่ได้",IF(OR(H201="ไม่พบในรายการ",H201="MISSING",H201="Missing"),"ไม่พบในรายการ",IF(OR(J201="เช่ายืม",J201="IN_USE",J201="IN-USE",H201="เช่ายืม"),"เช่ายืม",IF(H201="พร้อมส่ง","พร้อมส่ง","รอสอบเทียบ"))))</x:f>
        <x:v>รอสอบเทียบ</x:v>
      </x:c>
    </x:row>
    <x:row r="202">
      <x:c r="A202" t="str">
        <x:v>334432</x:v>
      </x:c>
      <x:c r="B202" t="str">
        <x:v>334432</x:v>
      </x:c>
      <x:c r="C202" t="str">
        <x:v>B.Braun</x:v>
      </x:c>
      <x:c r="D202" t="str">
        <x:v>Infusomat Space</x:v>
      </x:c>
      <x:c r="E202" t="str">
        <x:v>Infusomat Space</x:v>
      </x:c>
      <x:c r="F202" t="str">
        <x:v>BBRAUN_INFUSOMAT</x:v>
      </x:c>
      <x:c r="G202" t="str">
        <x:v>BME-BKN</x:v>
      </x:c>
      <x:c r="H202" t="str">
        <x:v>เช่ายืม</x:v>
      </x:c>
      <x:c r="I202" t="str">
        <x:v>พร้อมส่ง</x:v>
      </x:c>
      <x:c r="J202" t="str">
        <x:v>เช่ายืม</x:v>
      </x:c>
      <x:c r="K202" t="str">
        <x:v>อยู่ระหว่างเช่ายืม / เกินกำหนดคืน 60 วัน</x:v>
      </x:c>
      <x:c r="L202"/>
      <x:c r="M202" t="str">
        <x:f>IF(OR(H202="ใช้งานไม่ได้",H202="BROKEN",H202="Broken"),"ใช้งานไม่ได้",IF(OR(H202="ไม่พบในรายการ",H202="MISSING",H202="Missing"),"ไม่พบในรายการ",IF(OR(J202="เช่ายืม",J202="IN_USE",J202="IN-USE",H202="เช่ายืม"),"เช่ายืม",IF(H202="พร้อมส่ง","พร้อมส่ง","รอสอบเทียบ"))))</x:f>
        <x:v>เช่ายืม</x:v>
      </x:c>
    </x:row>
    <x:row r="203">
      <x:c r="A203" t="str">
        <x:v>334459</x:v>
      </x:c>
      <x:c r="B203" t="str">
        <x:v>334459</x:v>
      </x:c>
      <x:c r="C203" t="str">
        <x:v>B.Braun</x:v>
      </x:c>
      <x:c r="D203" t="str">
        <x:v>Infusomat Space</x:v>
      </x:c>
      <x:c r="E203" t="str">
        <x:v>Infusomat Space</x:v>
      </x:c>
      <x:c r="F203" t="str">
        <x:v>BBRAUN_INFUSOMAT</x:v>
      </x:c>
      <x:c r="G203" t="str">
        <x:v>BME-BKN</x:v>
      </x:c>
      <x:c r="H203" t="str">
        <x:v>เช่ายืม</x:v>
      </x:c>
      <x:c r="I203" t="str">
        <x:v>พร้อมส่ง</x:v>
      </x:c>
      <x:c r="J203" t="str">
        <x:v>เช่ายืม</x:v>
      </x:c>
      <x:c r="K203" t="str">
        <x:v>อยู่ระหว่างเช่ายืม / เกินกำหนดคืน 60 วัน</x:v>
      </x:c>
      <x:c r="L203"/>
      <x:c r="M203" t="str">
        <x:f>IF(OR(H203="ใช้งานไม่ได้",H203="BROKEN",H203="Broken"),"ใช้งานไม่ได้",IF(OR(H203="ไม่พบในรายการ",H203="MISSING",H203="Missing"),"ไม่พบในรายการ",IF(OR(J203="เช่ายืม",J203="IN_USE",J203="IN-USE",H203="เช่ายืม"),"เช่ายืม",IF(H203="พร้อมส่ง","พร้อมส่ง","รอสอบเทียบ"))))</x:f>
        <x:v>เช่ายืม</x:v>
      </x:c>
    </x:row>
    <x:row r="204">
      <x:c r="A204" t="str">
        <x:v>334460</x:v>
      </x:c>
      <x:c r="B204" t="str">
        <x:v>NHBB0033</x:v>
      </x:c>
      <x:c r="C204" t="str">
        <x:v>B.Braun</x:v>
      </x:c>
      <x:c r="D204" t="str">
        <x:v>Infusomat Space</x:v>
      </x:c>
      <x:c r="E204" t="str">
        <x:v>Infusomat Space</x:v>
      </x:c>
      <x:c r="F204" t="str">
        <x:v>BBRAUN_INFUSOMAT</x:v>
      </x:c>
      <x:c r="G204" t="str">
        <x:v>รพ.เชียงรายประชานุเคราะห์</x:v>
      </x:c>
      <x:c r="H204" t="str">
        <x:v>เช่ายืม</x:v>
      </x:c>
      <x:c r="I204" t="str">
        <x:v>พร้อมส่ง</x:v>
      </x:c>
      <x:c r="J204" t="str">
        <x:v>เช่ายืม</x:v>
      </x:c>
      <x:c r="K204" t="str">
        <x:v>No action</x:v>
      </x:c>
      <x:c r="L204"/>
      <x:c r="M204" t="str">
        <x:f>IF(OR(H204="ใช้งานไม่ได้",H204="BROKEN",H204="Broken"),"ใช้งานไม่ได้",IF(OR(H204="ไม่พบในรายการ",H204="MISSING",H204="Missing"),"ไม่พบในรายการ",IF(OR(J204="เช่ายืม",J204="IN_USE",J204="IN-USE",H204="เช่ายืม"),"เช่ายืม",IF(H204="พร้อมส่ง","พร้อมส่ง","รอสอบเทียบ"))))</x:f>
        <x:v>เช่ายืม</x:v>
      </x:c>
    </x:row>
    <x:row r="205">
      <x:c r="A205" t="str">
        <x:v>334465</x:v>
      </x:c>
      <x:c r="B205" t="str">
        <x:v>334465</x:v>
      </x:c>
      <x:c r="C205" t="str">
        <x:v>B.Braun</x:v>
      </x:c>
      <x:c r="D205" t="str">
        <x:v>Infusomat Space</x:v>
      </x:c>
      <x:c r="E205" t="str">
        <x:v>Infusomat Space</x:v>
      </x:c>
      <x:c r="F205" t="str">
        <x:v>BBRAUN_INFUSOMAT</x:v>
      </x:c>
      <x:c r="G205" t="str">
        <x:v>Warehouse</x:v>
      </x:c>
      <x:c r="H205" t="str">
        <x:v>รอสอบเทียบ</x:v>
      </x:c>
      <x:c r="I205" t="str">
        <x:v>รอสอบเทียบ</x:v>
      </x:c>
      <x:c r="J205" t="str">
        <x:v>ไม่มีสัญญา</x:v>
      </x:c>
      <x:c r="K205" t="str">
        <x:v>รอสอบเทียบก่อนพร้อมส่ง</x:v>
      </x:c>
      <x:c r="L205" t="str">
        <x:v>ไม่ได้เช่ายืม = รอสอบเทียบ</x:v>
      </x:c>
      <x:c r="M205" t="str">
        <x:f>IF(OR(H205="ใช้งานไม่ได้",H205="BROKEN",H205="Broken"),"ใช้งานไม่ได้",IF(OR(H205="ไม่พบในรายการ",H205="MISSING",H205="Missing"),"ไม่พบในรายการ",IF(OR(J205="เช่ายืม",J205="IN_USE",J205="IN-USE",H205="เช่ายืม"),"เช่ายืม",IF(H205="พร้อมส่ง","พร้อมส่ง","รอสอบเทียบ"))))</x:f>
        <x:v>รอสอบเทียบ</x:v>
      </x:c>
    </x:row>
    <x:row r="206">
      <x:c r="A206" t="str">
        <x:v>334479</x:v>
      </x:c>
      <x:c r="B206" t="str">
        <x:v>334479</x:v>
      </x:c>
      <x:c r="C206" t="str">
        <x:v>B.Braun</x:v>
      </x:c>
      <x:c r="D206" t="str">
        <x:v>Infusomat Space</x:v>
      </x:c>
      <x:c r="E206" t="str">
        <x:v>Infusomat Space</x:v>
      </x:c>
      <x:c r="F206" t="str">
        <x:v>BBRAUN_INFUSOMAT</x:v>
      </x:c>
      <x:c r="G206" t="str">
        <x:v>BME-BKN</x:v>
      </x:c>
      <x:c r="H206" t="str">
        <x:v>เช่ายืม</x:v>
      </x:c>
      <x:c r="I206" t="str">
        <x:v>พร้อมส่ง</x:v>
      </x:c>
      <x:c r="J206" t="str">
        <x:v>เช่ายืม</x:v>
      </x:c>
      <x:c r="K206" t="str">
        <x:v>อยู่ระหว่างเช่ายืม / เกินกำหนดคืน 60 วัน</x:v>
      </x:c>
      <x:c r="L206"/>
      <x:c r="M206" t="str">
        <x:f>IF(OR(H206="ใช้งานไม่ได้",H206="BROKEN",H206="Broken"),"ใช้งานไม่ได้",IF(OR(H206="ไม่พบในรายการ",H206="MISSING",H206="Missing"),"ไม่พบในรายการ",IF(OR(J206="เช่ายืม",J206="IN_USE",J206="IN-USE",H206="เช่ายืม"),"เช่ายืม",IF(H206="พร้อมส่ง","พร้อมส่ง","รอสอบเทียบ"))))</x:f>
        <x:v>เช่ายืม</x:v>
      </x:c>
    </x:row>
    <x:row r="207">
      <x:c r="A207" t="str">
        <x:v>334484</x:v>
      </x:c>
      <x:c r="B207" t="str">
        <x:v>334484</x:v>
      </x:c>
      <x:c r="C207" t="str">
        <x:v>B.Braun</x:v>
      </x:c>
      <x:c r="D207" t="str">
        <x:v>Infusomat Space</x:v>
      </x:c>
      <x:c r="E207" t="str">
        <x:v>Infusomat Space</x:v>
      </x:c>
      <x:c r="F207" t="str">
        <x:v>BBRAUN_INFUSOMAT</x:v>
      </x:c>
      <x:c r="G207" t="str">
        <x:v>ABSOLUTE HEALTH CLINIC</x:v>
      </x:c>
      <x:c r="H207" t="str">
        <x:v>เช่ายืม</x:v>
      </x:c>
      <x:c r="I207" t="str">
        <x:v>พร้อมส่ง</x:v>
      </x:c>
      <x:c r="J207" t="str">
        <x:v>เช่ายืม</x:v>
      </x:c>
      <x:c r="K207" t="str">
        <x:v>อยู่ระหว่างเช่ายืม / เกินกำหนดคืน 90 วัน</x:v>
      </x:c>
      <x:c r="L207"/>
      <x:c r="M207" t="str">
        <x:f>IF(OR(H207="ใช้งานไม่ได้",H207="BROKEN",H207="Broken"),"ใช้งานไม่ได้",IF(OR(H207="ไม่พบในรายการ",H207="MISSING",H207="Missing"),"ไม่พบในรายการ",IF(OR(J207="เช่ายืม",J207="IN_USE",J207="IN-USE",H207="เช่ายืม"),"เช่ายืม",IF(H207="พร้อมส่ง","พร้อมส่ง","รอสอบเทียบ"))))</x:f>
        <x:v>เช่ายืม</x:v>
      </x:c>
    </x:row>
    <x:row r="208">
      <x:c r="A208" t="str">
        <x:v>334489</x:v>
      </x:c>
      <x:c r="B208" t="str">
        <x:v>NH0391</x:v>
      </x:c>
      <x:c r="C208" t="str">
        <x:v>B.Braun</x:v>
      </x:c>
      <x:c r="D208" t="str">
        <x:v>Infusomat Space</x:v>
      </x:c>
      <x:c r="E208" t="str">
        <x:v>Infusomat Space</x:v>
      </x:c>
      <x:c r="F208" t="str">
        <x:v>BBRAUN_INFUSOMAT</x:v>
      </x:c>
      <x:c r="G208" t="str">
        <x:v>เช่าเพิ่ม รพ.วันเวลา</x:v>
      </x:c>
      <x:c r="H208" t="str">
        <x:v>เช่ายืม</x:v>
      </x:c>
      <x:c r="I208" t="str">
        <x:v>พร้อมส่ง</x:v>
      </x:c>
      <x:c r="J208" t="str">
        <x:v>เช่ายืม</x:v>
      </x:c>
      <x:c r="K208" t="str">
        <x:v>No action</x:v>
      </x:c>
      <x:c r="L208"/>
      <x:c r="M208" t="str">
        <x:f>IF(OR(H208="ใช้งานไม่ได้",H208="BROKEN",H208="Broken"),"ใช้งานไม่ได้",IF(OR(H208="ไม่พบในรายการ",H208="MISSING",H208="Missing"),"ไม่พบในรายการ",IF(OR(J208="เช่ายืม",J208="IN_USE",J208="IN-USE",H208="เช่ายืม"),"เช่ายืม",IF(H208="พร้อมส่ง","พร้อมส่ง","รอสอบเทียบ"))))</x:f>
        <x:v>เช่ายืม</x:v>
      </x:c>
    </x:row>
    <x:row r="209">
      <x:c r="A209" t="str">
        <x:v>334491</x:v>
      </x:c>
      <x:c r="B209" t="str">
        <x:v>334491</x:v>
      </x:c>
      <x:c r="C209" t="str">
        <x:v>B.Braun</x:v>
      </x:c>
      <x:c r="D209" t="str">
        <x:v>Infusomat Space</x:v>
      </x:c>
      <x:c r="E209" t="str">
        <x:v>Infusomat Space</x:v>
      </x:c>
      <x:c r="F209" t="str">
        <x:v>BBRAUN_INFUSOMAT</x:v>
      </x:c>
      <x:c r="G209" t="str">
        <x:v>Warehouse</x:v>
      </x:c>
      <x:c r="H209" t="str">
        <x:v>รอสอบเทียบ</x:v>
      </x:c>
      <x:c r="I209" t="str">
        <x:v>รอสอบเทียบ</x:v>
      </x:c>
      <x:c r="J209" t="str">
        <x:v>ไม่มีสัญญา</x:v>
      </x:c>
      <x:c r="K209" t="str">
        <x:v>รอสอบเทียบก่อนพร้อมส่ง</x:v>
      </x:c>
      <x:c r="L209" t="str">
        <x:v>ไม่ได้เช่ายืม = รอสอบเทียบ</x:v>
      </x:c>
      <x:c r="M209" t="str">
        <x:f>IF(OR(H209="ใช้งานไม่ได้",H209="BROKEN",H209="Broken"),"ใช้งานไม่ได้",IF(OR(H209="ไม่พบในรายการ",H209="MISSING",H209="Missing"),"ไม่พบในรายการ",IF(OR(J209="เช่ายืม",J209="IN_USE",J209="IN-USE",H209="เช่ายืม"),"เช่ายืม",IF(H209="พร้อมส่ง","พร้อมส่ง","รอสอบเทียบ"))))</x:f>
        <x:v>รอสอบเทียบ</x:v>
      </x:c>
    </x:row>
    <x:row r="210">
      <x:c r="A210" t="str">
        <x:v>334507</x:v>
      </x:c>
      <x:c r="B210" t="str">
        <x:v>334507</x:v>
      </x:c>
      <x:c r="C210" t="str">
        <x:v>B.Braun</x:v>
      </x:c>
      <x:c r="D210" t="str">
        <x:v>Infusomat Space</x:v>
      </x:c>
      <x:c r="E210" t="str">
        <x:v>Infusomat Space</x:v>
      </x:c>
      <x:c r="F210" t="str">
        <x:v>BBRAUN_INFUSOMAT</x:v>
      </x:c>
      <x:c r="G210" t="str">
        <x:v>BME-BKN</x:v>
      </x:c>
      <x:c r="H210" t="str">
        <x:v>เช่ายืม</x:v>
      </x:c>
      <x:c r="I210" t="str">
        <x:v>พร้อมส่ง</x:v>
      </x:c>
      <x:c r="J210" t="str">
        <x:v>เช่ายืม</x:v>
      </x:c>
      <x:c r="K210" t="str">
        <x:v>อยู่ระหว่างเช่ายืม / เกินกำหนดคืน 60 วัน</x:v>
      </x:c>
      <x:c r="L210"/>
      <x:c r="M210" t="str">
        <x:f>IF(OR(H210="ใช้งานไม่ได้",H210="BROKEN",H210="Broken"),"ใช้งานไม่ได้",IF(OR(H210="ไม่พบในรายการ",H210="MISSING",H210="Missing"),"ไม่พบในรายการ",IF(OR(J210="เช่ายืม",J210="IN_USE",J210="IN-USE",H210="เช่ายืม"),"เช่ายืม",IF(H210="พร้อมส่ง","พร้อมส่ง","รอสอบเทียบ"))))</x:f>
        <x:v>เช่ายืม</x:v>
      </x:c>
    </x:row>
    <x:row r="211">
      <x:c r="A211" t="str">
        <x:v>334515</x:v>
      </x:c>
      <x:c r="B211" t="str">
        <x:v>334515</x:v>
      </x:c>
      <x:c r="C211" t="str">
        <x:v>B.Braun</x:v>
      </x:c>
      <x:c r="D211" t="str">
        <x:v>Infusomat Space</x:v>
      </x:c>
      <x:c r="E211" t="str">
        <x:v>Infusomat Space</x:v>
      </x:c>
      <x:c r="F211" t="str">
        <x:v>BBRAUN_INFUSOMAT</x:v>
      </x:c>
      <x:c r="G211" t="str">
        <x:v>BME-BKN</x:v>
      </x:c>
      <x:c r="H211" t="str">
        <x:v>เช่ายืม</x:v>
      </x:c>
      <x:c r="I211" t="str">
        <x:v>พร้อมส่ง</x:v>
      </x:c>
      <x:c r="J211" t="str">
        <x:v>เช่ายืม</x:v>
      </x:c>
      <x:c r="K211" t="str">
        <x:v>อยู่ระหว่างเช่ายืม / เกินกำหนดคืน 60 วัน</x:v>
      </x:c>
      <x:c r="L211"/>
      <x:c r="M211" t="str">
        <x:f>IF(OR(H211="ใช้งานไม่ได้",H211="BROKEN",H211="Broken"),"ใช้งานไม่ได้",IF(OR(H211="ไม่พบในรายการ",H211="MISSING",H211="Missing"),"ไม่พบในรายการ",IF(OR(J211="เช่ายืม",J211="IN_USE",J211="IN-USE",H211="เช่ายืม"),"เช่ายืม",IF(H211="พร้อมส่ง","พร้อมส่ง","รอสอบเทียบ"))))</x:f>
        <x:v>เช่ายืม</x:v>
      </x:c>
    </x:row>
    <x:row r="212">
      <x:c r="A212" t="str">
        <x:v>334524</x:v>
      </x:c>
      <x:c r="B212" t="str">
        <x:v>334524</x:v>
      </x:c>
      <x:c r="C212" t="str">
        <x:v>B.Braun</x:v>
      </x:c>
      <x:c r="D212" t="str">
        <x:v>Infusomat Space</x:v>
      </x:c>
      <x:c r="E212" t="str">
        <x:v>Infusomat Space</x:v>
      </x:c>
      <x:c r="F212" t="str">
        <x:v>BBRAUN_INFUSOMAT</x:v>
      </x:c>
      <x:c r="G212" t="str">
        <x:v>DEMO ศบศ</x:v>
      </x:c>
      <x:c r="H212" t="str">
        <x:v>เช่ายืม</x:v>
      </x:c>
      <x:c r="I212" t="str">
        <x:v>พร้อมส่ง</x:v>
      </x:c>
      <x:c r="J212" t="str">
        <x:v>เช่ายืม</x:v>
      </x:c>
      <x:c r="K212" t="str">
        <x:v>อยู่ระหว่างเช่ายืม / เกินกำหนดคืน 16 วัน</x:v>
      </x:c>
      <x:c r="L212"/>
      <x:c r="M212" t="str">
        <x:f>IF(OR(H212="ใช้งานไม่ได้",H212="BROKEN",H212="Broken"),"ใช้งานไม่ได้",IF(OR(H212="ไม่พบในรายการ",H212="MISSING",H212="Missing"),"ไม่พบในรายการ",IF(OR(J212="เช่ายืม",J212="IN_USE",J212="IN-USE",H212="เช่ายืม"),"เช่ายืม",IF(H212="พร้อมส่ง","พร้อมส่ง","รอสอบเทียบ"))))</x:f>
        <x:v>เช่ายืม</x:v>
      </x:c>
    </x:row>
    <x:row r="213">
      <x:c r="A213" t="str">
        <x:v>334525</x:v>
      </x:c>
      <x:c r="B213" t="str">
        <x:v>334525</x:v>
      </x:c>
      <x:c r="C213" t="str">
        <x:v>B.Braun</x:v>
      </x:c>
      <x:c r="D213" t="str">
        <x:v>Infusomat Space</x:v>
      </x:c>
      <x:c r="E213" t="str">
        <x:v>Infusomat Space</x:v>
      </x:c>
      <x:c r="F213" t="str">
        <x:v>BBRAUN_INFUSOMAT</x:v>
      </x:c>
      <x:c r="G213" t="str">
        <x:v>Warehouse</x:v>
      </x:c>
      <x:c r="H213" t="str">
        <x:v>รอสอบเทียบ</x:v>
      </x:c>
      <x:c r="I213" t="str">
        <x:v>รอสอบเทียบ</x:v>
      </x:c>
      <x:c r="J213" t="str">
        <x:v>ไม่มีสัญญา</x:v>
      </x:c>
      <x:c r="K213" t="str">
        <x:v>รอสอบเทียบก่อนพร้อมส่ง</x:v>
      </x:c>
      <x:c r="L213" t="str">
        <x:v>ไม่ได้เช่ายืม = รอสอบเทียบ</x:v>
      </x:c>
      <x:c r="M213" t="str">
        <x:f>IF(OR(H213="ใช้งานไม่ได้",H213="BROKEN",H213="Broken"),"ใช้งานไม่ได้",IF(OR(H213="ไม่พบในรายการ",H213="MISSING",H213="Missing"),"ไม่พบในรายการ",IF(OR(J213="เช่ายืม",J213="IN_USE",J213="IN-USE",H213="เช่ายืม"),"เช่ายืม",IF(H213="พร้อมส่ง","พร้อมส่ง","รอสอบเทียบ"))))</x:f>
        <x:v>รอสอบเทียบ</x:v>
      </x:c>
    </x:row>
    <x:row r="214">
      <x:c r="A214" t="str">
        <x:v>334558</x:v>
      </x:c>
      <x:c r="B214" t="str">
        <x:v>334558</x:v>
      </x:c>
      <x:c r="C214" t="str">
        <x:v>B.Braun</x:v>
      </x:c>
      <x:c r="D214" t="str">
        <x:v>Infusomat Space</x:v>
      </x:c>
      <x:c r="E214" t="str">
        <x:v>Infusomat Space</x:v>
      </x:c>
      <x:c r="F214" t="str">
        <x:v>BBRAUN_INFUSOMAT</x:v>
      </x:c>
      <x:c r="G214" t="str">
        <x:v>BME-BKN</x:v>
      </x:c>
      <x:c r="H214" t="str">
        <x:v>เช่ายืม</x:v>
      </x:c>
      <x:c r="I214" t="str">
        <x:v>พร้อมส่ง</x:v>
      </x:c>
      <x:c r="J214" t="str">
        <x:v>เช่ายืม</x:v>
      </x:c>
      <x:c r="K214" t="str">
        <x:v>อยู่ระหว่างเช่ายืม / เกินกำหนดคืน 60 วัน</x:v>
      </x:c>
      <x:c r="L214"/>
      <x:c r="M214" t="str">
        <x:f>IF(OR(H214="ใช้งานไม่ได้",H214="BROKEN",H214="Broken"),"ใช้งานไม่ได้",IF(OR(H214="ไม่พบในรายการ",H214="MISSING",H214="Missing"),"ไม่พบในรายการ",IF(OR(J214="เช่ายืม",J214="IN_USE",J214="IN-USE",H214="เช่ายืม"),"เช่ายืม",IF(H214="พร้อมส่ง","พร้อมส่ง","รอสอบเทียบ"))))</x:f>
        <x:v>เช่ายืม</x:v>
      </x:c>
    </x:row>
    <x:row r="215">
      <x:c r="A215" t="str">
        <x:v>334586</x:v>
      </x:c>
      <x:c r="B215" t="str">
        <x:v>334586</x:v>
      </x:c>
      <x:c r="C215" t="str">
        <x:v>B.Braun</x:v>
      </x:c>
      <x:c r="D215" t="str">
        <x:v>Infusomat Space</x:v>
      </x:c>
      <x:c r="E215" t="str">
        <x:v>Infusomat Space</x:v>
      </x:c>
      <x:c r="F215" t="str">
        <x:v>BBRAUN_INFUSOMAT</x:v>
      </x:c>
      <x:c r="G215" t="str">
        <x:v>ABSOLUTE HEALTH CLINIC</x:v>
      </x:c>
      <x:c r="H215" t="str">
        <x:v>เช่ายืม</x:v>
      </x:c>
      <x:c r="I215" t="str">
        <x:v>พร้อมส่ง</x:v>
      </x:c>
      <x:c r="J215" t="str">
        <x:v>เช่ายืม</x:v>
      </x:c>
      <x:c r="K215" t="str">
        <x:v>อยู่ระหว่างเช่ายืม / เกินกำหนดคืน 90 วัน</x:v>
      </x:c>
      <x:c r="L215"/>
      <x:c r="M215" t="str">
        <x:f>IF(OR(H215="ใช้งานไม่ได้",H215="BROKEN",H215="Broken"),"ใช้งานไม่ได้",IF(OR(H215="ไม่พบในรายการ",H215="MISSING",H215="Missing"),"ไม่พบในรายการ",IF(OR(J215="เช่ายืม",J215="IN_USE",J215="IN-USE",H215="เช่ายืม"),"เช่ายืม",IF(H215="พร้อมส่ง","พร้อมส่ง","รอสอบเทียบ"))))</x:f>
        <x:v>เช่ายืม</x:v>
      </x:c>
    </x:row>
    <x:row r="216">
      <x:c r="A216" t="str">
        <x:v>334632</x:v>
      </x:c>
      <x:c r="B216" t="str">
        <x:v>334632</x:v>
      </x:c>
      <x:c r="C216" t="str">
        <x:v>B.Braun</x:v>
      </x:c>
      <x:c r="D216" t="str">
        <x:v>Infusomat Space</x:v>
      </x:c>
      <x:c r="E216" t="str">
        <x:v>Infusomat Space</x:v>
      </x:c>
      <x:c r="F216" t="str">
        <x:v>BBRAUN_INFUSOMAT</x:v>
      </x:c>
      <x:c r="G216" t="str">
        <x:v>รพ.เชียงรายประชานุเคราะห์</x:v>
      </x:c>
      <x:c r="H216" t="str">
        <x:v>เช่ายืม</x:v>
      </x:c>
      <x:c r="I216" t="str">
        <x:v>พร้อมส่ง</x:v>
      </x:c>
      <x:c r="J216" t="str">
        <x:v>เช่ายืม</x:v>
      </x:c>
      <x:c r="K216" t="str">
        <x:v>อยู่ระหว่างเช่ายืม / เกินกำหนดคืน 275 วัน</x:v>
      </x:c>
      <x:c r="L216"/>
      <x:c r="M216" t="str">
        <x:f>IF(OR(H216="ใช้งานไม่ได้",H216="BROKEN",H216="Broken"),"ใช้งานไม่ได้",IF(OR(H216="ไม่พบในรายการ",H216="MISSING",H216="Missing"),"ไม่พบในรายการ",IF(OR(J216="เช่ายืม",J216="IN_USE",J216="IN-USE",H216="เช่ายืม"),"เช่ายืม",IF(H216="พร้อมส่ง","พร้อมส่ง","รอสอบเทียบ"))))</x:f>
        <x:v>เช่ายืม</x:v>
      </x:c>
    </x:row>
    <x:row r="217">
      <x:c r="A217" t="str">
        <x:v>335730</x:v>
      </x:c>
      <x:c r="B217" t="str">
        <x:v>NHBB0109</x:v>
      </x:c>
      <x:c r="C217" t="str">
        <x:v>B.Braun</x:v>
      </x:c>
      <x:c r="D217" t="str">
        <x:v>Infusomat Space</x:v>
      </x:c>
      <x:c r="E217" t="str">
        <x:v>Infusomat Space</x:v>
      </x:c>
      <x:c r="F217" t="str">
        <x:v>BBRAUN_INFUSOMAT</x:v>
      </x:c>
      <x:c r="G217" t="str">
        <x:v>รพ.เชียงรายประชานุเคราะห์</x:v>
      </x:c>
      <x:c r="H217" t="str">
        <x:v>เช่ายืม</x:v>
      </x:c>
      <x:c r="I217" t="str">
        <x:v>พร้อมส่ง</x:v>
      </x:c>
      <x:c r="J217" t="str">
        <x:v>เช่ายืม</x:v>
      </x:c>
      <x:c r="K217" t="str">
        <x:v>No action</x:v>
      </x:c>
      <x:c r="L217"/>
      <x:c r="M217" t="str">
        <x:f>IF(OR(H217="ใช้งานไม่ได้",H217="BROKEN",H217="Broken"),"ใช้งานไม่ได้",IF(OR(H217="ไม่พบในรายการ",H217="MISSING",H217="Missing"),"ไม่พบในรายการ",IF(OR(J217="เช่ายืม",J217="IN_USE",J217="IN-USE",H217="เช่ายืม"),"เช่ายืม",IF(H217="พร้อมส่ง","พร้อมส่ง","รอสอบเทียบ"))))</x:f>
        <x:v>เช่ายืม</x:v>
      </x:c>
    </x:row>
    <x:row r="218">
      <x:c r="A218" t="str">
        <x:v>335741</x:v>
      </x:c>
      <x:c r="B218" t="str">
        <x:v>NHBB0230</x:v>
      </x:c>
      <x:c r="C218" t="str">
        <x:v>B.Braun</x:v>
      </x:c>
      <x:c r="D218" t="str">
        <x:v>Infusomat Space</x:v>
      </x:c>
      <x:c r="E218" t="str">
        <x:v>Infusomat Space</x:v>
      </x:c>
      <x:c r="F218" t="str">
        <x:v>BBRAUN_INFUSOMAT</x:v>
      </x:c>
      <x:c r="G218" t="str">
        <x:v>รพ.เชียงรายประชานุเคราะห์</x:v>
      </x:c>
      <x:c r="H218" t="str">
        <x:v>เช่ายืม</x:v>
      </x:c>
      <x:c r="I218" t="str">
        <x:v>พร้อมส่ง</x:v>
      </x:c>
      <x:c r="J218" t="str">
        <x:v>เช่ายืม</x:v>
      </x:c>
      <x:c r="K218" t="str">
        <x:v>No action</x:v>
      </x:c>
      <x:c r="L218"/>
      <x:c r="M218" t="str">
        <x:f>IF(OR(H218="ใช้งานไม่ได้",H218="BROKEN",H218="Broken"),"ใช้งานไม่ได้",IF(OR(H218="ไม่พบในรายการ",H218="MISSING",H218="Missing"),"ไม่พบในรายการ",IF(OR(J218="เช่ายืม",J218="IN_USE",J218="IN-USE",H218="เช่ายืม"),"เช่ายืม",IF(H218="พร้อมส่ง","พร้อมส่ง","รอสอบเทียบ"))))</x:f>
        <x:v>เช่ายืม</x:v>
      </x:c>
    </x:row>
    <x:row r="219">
      <x:c r="A219" t="str">
        <x:v>335774</x:v>
      </x:c>
      <x:c r="B219" t="str">
        <x:v>NHBB0199</x:v>
      </x:c>
      <x:c r="C219" t="str">
        <x:v>B.Braun</x:v>
      </x:c>
      <x:c r="D219" t="str">
        <x:v>Infusomat Space</x:v>
      </x:c>
      <x:c r="E219" t="str">
        <x:v>Infusomat Space</x:v>
      </x:c>
      <x:c r="F219" t="str">
        <x:v>BBRAUN_INFUSOMAT</x:v>
      </x:c>
      <x:c r="G219" t="str">
        <x:v>รพ.เชียงรายประชานุเคราะห์</x:v>
      </x:c>
      <x:c r="H219" t="str">
        <x:v>เช่ายืม</x:v>
      </x:c>
      <x:c r="I219" t="str">
        <x:v>พร้อมส่ง</x:v>
      </x:c>
      <x:c r="J219" t="str">
        <x:v>เช่ายืม</x:v>
      </x:c>
      <x:c r="K219" t="str">
        <x:v>No action</x:v>
      </x:c>
      <x:c r="L219"/>
      <x:c r="M219" t="str">
        <x:f>IF(OR(H219="ใช้งานไม่ได้",H219="BROKEN",H219="Broken"),"ใช้งานไม่ได้",IF(OR(H219="ไม่พบในรายการ",H219="MISSING",H219="Missing"),"ไม่พบในรายการ",IF(OR(J219="เช่ายืม",J219="IN_USE",J219="IN-USE",H219="เช่ายืม"),"เช่ายืม",IF(H219="พร้อมส่ง","พร้อมส่ง","รอสอบเทียบ"))))</x:f>
        <x:v>เช่ายืม</x:v>
      </x:c>
    </x:row>
    <x:row r="220">
      <x:c r="A220" t="str">
        <x:v>335800</x:v>
      </x:c>
      <x:c r="B220" t="str">
        <x:v>335800</x:v>
      </x:c>
      <x:c r="C220" t="str">
        <x:v>B.Braun</x:v>
      </x:c>
      <x:c r="D220" t="str">
        <x:v>Infusomat Space</x:v>
      </x:c>
      <x:c r="E220" t="str">
        <x:v>Infusomat Space</x:v>
      </x:c>
      <x:c r="F220" t="str">
        <x:v>BBRAUN_INFUSOMAT</x:v>
      </x:c>
      <x:c r="G220" t="str">
        <x:v>Warehouse</x:v>
      </x:c>
      <x:c r="H220" t="str">
        <x:v>รอสอบเทียบ</x:v>
      </x:c>
      <x:c r="I220" t="str">
        <x:v>รอสอบเทียบ</x:v>
      </x:c>
      <x:c r="J220" t="str">
        <x:v>ไม่มีสัญญา</x:v>
      </x:c>
      <x:c r="K220" t="str">
        <x:v>รอสอบเทียบก่อนพร้อมส่ง</x:v>
      </x:c>
      <x:c r="L220" t="str">
        <x:v>ไม่ได้เช่ายืม = รอสอบเทียบ</x:v>
      </x:c>
      <x:c r="M220" t="str">
        <x:f>IF(OR(H220="ใช้งานไม่ได้",H220="BROKEN",H220="Broken"),"ใช้งานไม่ได้",IF(OR(H220="ไม่พบในรายการ",H220="MISSING",H220="Missing"),"ไม่พบในรายการ",IF(OR(J220="เช่ายืม",J220="IN_USE",J220="IN-USE",H220="เช่ายืม"),"เช่ายืม",IF(H220="พร้อมส่ง","พร้อมส่ง","รอสอบเทียบ"))))</x:f>
        <x:v>รอสอบเทียบ</x:v>
      </x:c>
    </x:row>
    <x:row r="221">
      <x:c r="A221" t="str">
        <x:v>335993</x:v>
      </x:c>
      <x:c r="B221" t="str">
        <x:v>335993</x:v>
      </x:c>
      <x:c r="C221" t="str">
        <x:v>B.Braun</x:v>
      </x:c>
      <x:c r="D221" t="str">
        <x:v>Infusomat Space</x:v>
      </x:c>
      <x:c r="E221" t="str">
        <x:v>Infusomat Space</x:v>
      </x:c>
      <x:c r="F221" t="str">
        <x:v>BBRAUN_INFUSOMAT</x:v>
      </x:c>
      <x:c r="G221" t="str">
        <x:v>โรงพยาบาลเปาโล พระประแดง</x:v>
      </x:c>
      <x:c r="H221" t="str">
        <x:v>เช่ายืม</x:v>
      </x:c>
      <x:c r="I221" t="str">
        <x:v>พร้อมส่ง</x:v>
      </x:c>
      <x:c r="J221" t="str">
        <x:v>เช่ายืม</x:v>
      </x:c>
      <x:c r="K221" t="str">
        <x:v>อยู่ระหว่างเช่ายืม / เกินกำหนดคืน 135 วัน</x:v>
      </x:c>
      <x:c r="L221"/>
      <x:c r="M221" t="str">
        <x:f>IF(OR(H221="ใช้งานไม่ได้",H221="BROKEN",H221="Broken"),"ใช้งานไม่ได้",IF(OR(H221="ไม่พบในรายการ",H221="MISSING",H221="Missing"),"ไม่พบในรายการ",IF(OR(J221="เช่ายืม",J221="IN_USE",J221="IN-USE",H221="เช่ายืม"),"เช่ายืม",IF(H221="พร้อมส่ง","พร้อมส่ง","รอสอบเทียบ"))))</x:f>
        <x:v>เช่ายืม</x:v>
      </x:c>
    </x:row>
    <x:row r="222">
      <x:c r="A222" t="str">
        <x:v>SN_335994</x:v>
      </x:c>
      <x:c r="B222" t="str">
        <x:v>335994</x:v>
      </x:c>
      <x:c r="C222" t="str">
        <x:v>B.Braun</x:v>
      </x:c>
      <x:c r="D222" t="str">
        <x:v>Infusomat Space</x:v>
      </x:c>
      <x:c r="E222" t="str">
        <x:v>Infusomat Space</x:v>
      </x:c>
      <x:c r="F222" t="str">
        <x:v>BBRAUN_INFUSOMAT</x:v>
      </x:c>
      <x:c r="G222" t="str">
        <x:v>Warehouse</x:v>
      </x:c>
      <x:c r="H222" t="str">
        <x:v>รอสอบเทียบ</x:v>
      </x:c>
      <x:c r="I222" t="str">
        <x:v>รอสอบเทียบ</x:v>
      </x:c>
      <x:c r="J222" t="str">
        <x:v>ไม่มีสัญญา</x:v>
      </x:c>
      <x:c r="K222" t="str">
        <x:v>รอสอบเทียบก่อนพร้อมส่ง</x:v>
      </x:c>
      <x:c r="L222" t="str">
        <x:v>ไม่ได้เช่ายืม = รอสอบเทียบ</x:v>
      </x:c>
      <x:c r="M222" t="str">
        <x:f>IF(OR(H222="ใช้งานไม่ได้",H222="BROKEN",H222="Broken"),"ใช้งานไม่ได้",IF(OR(H222="ไม่พบในรายการ",H222="MISSING",H222="Missing"),"ไม่พบในรายการ",IF(OR(J222="เช่ายืม",J222="IN_USE",J222="IN-USE",H222="เช่ายืม"),"เช่ายืม",IF(H222="พร้อมส่ง","พร้อมส่ง","รอสอบเทียบ"))))</x:f>
        <x:v>รอสอบเทียบ</x:v>
      </x:c>
    </x:row>
    <x:row r="223">
      <x:c r="A223" t="str">
        <x:v>336007</x:v>
      </x:c>
      <x:c r="B223" t="str">
        <x:v>336007</x:v>
      </x:c>
      <x:c r="C223" t="str">
        <x:v>B.Braun</x:v>
      </x:c>
      <x:c r="D223" t="str">
        <x:v>Infusomat Space</x:v>
      </x:c>
      <x:c r="E223" t="str">
        <x:v>Infusomat Space</x:v>
      </x:c>
      <x:c r="F223" t="str">
        <x:v>BBRAUN_INFUSOMAT</x:v>
      </x:c>
      <x:c r="G223" t="str">
        <x:v>BME-BKN</x:v>
      </x:c>
      <x:c r="H223" t="str">
        <x:v>เช่ายืม</x:v>
      </x:c>
      <x:c r="I223" t="str">
        <x:v>พร้อมส่ง</x:v>
      </x:c>
      <x:c r="J223" t="str">
        <x:v>เช่ายืม</x:v>
      </x:c>
      <x:c r="K223" t="str">
        <x:v>อยู่ระหว่างเช่ายืม / เกินกำหนดคืน 60 วัน</x:v>
      </x:c>
      <x:c r="L223"/>
      <x:c r="M223" t="str">
        <x:f>IF(OR(H223="ใช้งานไม่ได้",H223="BROKEN",H223="Broken"),"ใช้งานไม่ได้",IF(OR(H223="ไม่พบในรายการ",H223="MISSING",H223="Missing"),"ไม่พบในรายการ",IF(OR(J223="เช่ายืม",J223="IN_USE",J223="IN-USE",H223="เช่ายืม"),"เช่ายืม",IF(H223="พร้อมส่ง","พร้อมส่ง","รอสอบเทียบ"))))</x:f>
        <x:v>เช่ายืม</x:v>
      </x:c>
    </x:row>
    <x:row r="224">
      <x:c r="A224" t="str">
        <x:v>336022</x:v>
      </x:c>
      <x:c r="B224" t="str">
        <x:v>336022</x:v>
      </x:c>
      <x:c r="C224" t="str">
        <x:v>B.Braun</x:v>
      </x:c>
      <x:c r="D224" t="str">
        <x:v>Infusomat Space</x:v>
      </x:c>
      <x:c r="E224" t="str">
        <x:v>Infusomat Space</x:v>
      </x:c>
      <x:c r="F224" t="str">
        <x:v>BBRAUN_INFUSOMAT</x:v>
      </x:c>
      <x:c r="G224" t="str">
        <x:v>BME-BKN</x:v>
      </x:c>
      <x:c r="H224" t="str">
        <x:v>เช่ายืม</x:v>
      </x:c>
      <x:c r="I224" t="str">
        <x:v>พร้อมส่ง</x:v>
      </x:c>
      <x:c r="J224" t="str">
        <x:v>เช่ายืม</x:v>
      </x:c>
      <x:c r="K224" t="str">
        <x:v>อยู่ระหว่างเช่ายืม / เกินกำหนดคืน 60 วัน</x:v>
      </x:c>
      <x:c r="L224"/>
      <x:c r="M224" t="str">
        <x:f>IF(OR(H224="ใช้งานไม่ได้",H224="BROKEN",H224="Broken"),"ใช้งานไม่ได้",IF(OR(H224="ไม่พบในรายการ",H224="MISSING",H224="Missing"),"ไม่พบในรายการ",IF(OR(J224="เช่ายืม",J224="IN_USE",J224="IN-USE",H224="เช่ายืม"),"เช่ายืม",IF(H224="พร้อมส่ง","พร้อมส่ง","รอสอบเทียบ"))))</x:f>
        <x:v>เช่ายืม</x:v>
      </x:c>
    </x:row>
    <x:row r="225">
      <x:c r="A225" t="str">
        <x:v>336026</x:v>
      </x:c>
      <x:c r="B225" t="str">
        <x:v>336026</x:v>
      </x:c>
      <x:c r="C225" t="str">
        <x:v>B.Braun</x:v>
      </x:c>
      <x:c r="D225" t="str">
        <x:v>Infusomat Space</x:v>
      </x:c>
      <x:c r="E225" t="str">
        <x:v>Infusomat Space</x:v>
      </x:c>
      <x:c r="F225" t="str">
        <x:v>BBRAUN_INFUSOMAT</x:v>
      </x:c>
      <x:c r="G225" t="str">
        <x:v>BME-BKN</x:v>
      </x:c>
      <x:c r="H225" t="str">
        <x:v>เช่ายืม</x:v>
      </x:c>
      <x:c r="I225" t="str">
        <x:v>พร้อมส่ง</x:v>
      </x:c>
      <x:c r="J225" t="str">
        <x:v>เช่ายืม</x:v>
      </x:c>
      <x:c r="K225" t="str">
        <x:v>อยู่ระหว่างเช่ายืม / เกินกำหนดคืน 60 วัน</x:v>
      </x:c>
      <x:c r="L225"/>
      <x:c r="M225" t="str">
        <x:f>IF(OR(H225="ใช้งานไม่ได้",H225="BROKEN",H225="Broken"),"ใช้งานไม่ได้",IF(OR(H225="ไม่พบในรายการ",H225="MISSING",H225="Missing"),"ไม่พบในรายการ",IF(OR(J225="เช่ายืม",J225="IN_USE",J225="IN-USE",H225="เช่ายืม"),"เช่ายืม",IF(H225="พร้อมส่ง","พร้อมส่ง","รอสอบเทียบ"))))</x:f>
        <x:v>เช่ายืม</x:v>
      </x:c>
    </x:row>
    <x:row r="226">
      <x:c r="A226" t="str">
        <x:v>336034</x:v>
      </x:c>
      <x:c r="B226" t="str">
        <x:v>336034</x:v>
      </x:c>
      <x:c r="C226" t="str">
        <x:v>B.Braun</x:v>
      </x:c>
      <x:c r="D226" t="str">
        <x:v>Infusomat Space</x:v>
      </x:c>
      <x:c r="E226" t="str">
        <x:v>Infusomat Space</x:v>
      </x:c>
      <x:c r="F226" t="str">
        <x:v>BBRAUN_INFUSOMAT</x:v>
      </x:c>
      <x:c r="G226" t="str">
        <x:v>โรงพยาบาลเปาโล พระประแดง</x:v>
      </x:c>
      <x:c r="H226" t="str">
        <x:v>เช่ายืม</x:v>
      </x:c>
      <x:c r="I226" t="str">
        <x:v>พร้อมส่ง</x:v>
      </x:c>
      <x:c r="J226" t="str">
        <x:v>เช่ายืม</x:v>
      </x:c>
      <x:c r="K226" t="str">
        <x:v>อยู่ระหว่างเช่ายืม / เกินกำหนดคืน 300 วัน</x:v>
      </x:c>
      <x:c r="L226"/>
      <x:c r="M226" t="str">
        <x:f>IF(OR(H226="ใช้งานไม่ได้",H226="BROKEN",H226="Broken"),"ใช้งานไม่ได้",IF(OR(H226="ไม่พบในรายการ",H226="MISSING",H226="Missing"),"ไม่พบในรายการ",IF(OR(J226="เช่ายืม",J226="IN_USE",J226="IN-USE",H226="เช่ายืม"),"เช่ายืม",IF(H226="พร้อมส่ง","พร้อมส่ง","รอสอบเทียบ"))))</x:f>
        <x:v>เช่ายืม</x:v>
      </x:c>
    </x:row>
    <x:row r="227">
      <x:c r="A227" t="str">
        <x:v>3638</x:v>
      </x:c>
      <x:c r="B227" t="str">
        <x:v>3638</x:v>
      </x:c>
      <x:c r="C227" t="str">
        <x:v>B.Braun</x:v>
      </x:c>
      <x:c r="D227" t="str">
        <x:v>Infusomat Space</x:v>
      </x:c>
      <x:c r="E227" t="str">
        <x:v>Infusomat Space</x:v>
      </x:c>
      <x:c r="F227" t="str">
        <x:v>BBRAUN_INFUSOMAT</x:v>
      </x:c>
      <x:c r="G227" t="str">
        <x:v>Warehouse</x:v>
      </x:c>
      <x:c r="H227" t="str">
        <x:v>รอสอบเทียบ</x:v>
      </x:c>
      <x:c r="I227" t="str">
        <x:v>รอสอบเทียบ</x:v>
      </x:c>
      <x:c r="J227" t="str">
        <x:v>ไม่มีสัญญา</x:v>
      </x:c>
      <x:c r="K227" t="str">
        <x:v>รอสอบเทียบก่อนพร้อมส่ง</x:v>
      </x:c>
      <x:c r="L227" t="str">
        <x:v>ไม่ได้เช่ายืม = รอสอบเทียบ</x:v>
      </x:c>
      <x:c r="M227" t="str">
        <x:f>IF(OR(H227="ใช้งานไม่ได้",H227="BROKEN",H227="Broken"),"ใช้งานไม่ได้",IF(OR(H227="ไม่พบในรายการ",H227="MISSING",H227="Missing"),"ไม่พบในรายการ",IF(OR(J227="เช่ายืม",J227="IN_USE",J227="IN-USE",H227="เช่ายืม"),"เช่ายืม",IF(H227="พร้อมส่ง","พร้อมส่ง","รอสอบเทียบ"))))</x:f>
        <x:v>รอสอบเทียบ</x:v>
      </x:c>
    </x:row>
    <x:row r="228">
      <x:c r="A228" t="str">
        <x:v>39413</x:v>
      </x:c>
      <x:c r="B228" t="str">
        <x:v>39413</x:v>
      </x:c>
      <x:c r="C228" t="str">
        <x:v>B.Braun</x:v>
      </x:c>
      <x:c r="D228" t="str">
        <x:v>Infusomat Space</x:v>
      </x:c>
      <x:c r="E228" t="str">
        <x:v>Infusomat Space</x:v>
      </x:c>
      <x:c r="F228" t="str">
        <x:v>BBRAUN_INFUSOMAT</x:v>
      </x:c>
      <x:c r="G228" t="str">
        <x:v>BCM</x:v>
      </x:c>
      <x:c r="H228" t="str">
        <x:v>เช่ายืม</x:v>
      </x:c>
      <x:c r="I228" t="str">
        <x:v>พร้อมส่ง</x:v>
      </x:c>
      <x:c r="J228" t="str">
        <x:v>เช่ายืม</x:v>
      </x:c>
      <x:c r="K228" t="str">
        <x:v>อยู่ระหว่างเช่ายืม / เกินกำหนดคืน 39 วัน</x:v>
      </x:c>
      <x:c r="L228"/>
      <x:c r="M228" t="str">
        <x:f>IF(OR(H228="ใช้งานไม่ได้",H228="BROKEN",H228="Broken"),"ใช้งานไม่ได้",IF(OR(H228="ไม่พบในรายการ",H228="MISSING",H228="Missing"),"ไม่พบในรายการ",IF(OR(J228="เช่ายืม",J228="IN_USE",J228="IN-USE",H228="เช่ายืม"),"เช่ายืม",IF(H228="พร้อมส่ง","พร้อมส่ง","รอสอบเทียบ"))))</x:f>
        <x:v>เช่ายืม</x:v>
      </x:c>
    </x:row>
    <x:row r="229">
      <x:c r="A229" t="str">
        <x:v>39430</x:v>
      </x:c>
      <x:c r="B229" t="str">
        <x:v>39430</x:v>
      </x:c>
      <x:c r="C229" t="str">
        <x:v>B.Braun</x:v>
      </x:c>
      <x:c r="D229" t="str">
        <x:v>Infusomat Space</x:v>
      </x:c>
      <x:c r="E229" t="str">
        <x:v>Infusomat Space</x:v>
      </x:c>
      <x:c r="F229" t="str">
        <x:v>BBRAUN_INFUSOMAT</x:v>
      </x:c>
      <x:c r="G229" t="str">
        <x:v>BCM</x:v>
      </x:c>
      <x:c r="H229" t="str">
        <x:v>เช่ายืม</x:v>
      </x:c>
      <x:c r="I229" t="str">
        <x:v>พร้อมส่ง</x:v>
      </x:c>
      <x:c r="J229" t="str">
        <x:v>เช่ายืม</x:v>
      </x:c>
      <x:c r="K229" t="str">
        <x:v>อยู่ระหว่างเช่ายืม / เกินกำหนดคืน 39 วัน</x:v>
      </x:c>
      <x:c r="L229"/>
      <x:c r="M229" t="str">
        <x:f>IF(OR(H229="ใช้งานไม่ได้",H229="BROKEN",H229="Broken"),"ใช้งานไม่ได้",IF(OR(H229="ไม่พบในรายการ",H229="MISSING",H229="Missing"),"ไม่พบในรายการ",IF(OR(J229="เช่ายืม",J229="IN_USE",J229="IN-USE",H229="เช่ายืม"),"เช่ายืม",IF(H229="พร้อมส่ง","พร้อมส่ง","รอสอบเทียบ"))))</x:f>
        <x:v>เช่ายืม</x:v>
      </x:c>
    </x:row>
    <x:row r="230">
      <x:c r="A230" t="str">
        <x:v>39458</x:v>
      </x:c>
      <x:c r="B230" t="str">
        <x:v>39458</x:v>
      </x:c>
      <x:c r="C230" t="str">
        <x:v>B.Braun</x:v>
      </x:c>
      <x:c r="D230" t="str">
        <x:v>Infusomat Space</x:v>
      </x:c>
      <x:c r="E230" t="str">
        <x:v>Infusomat Space</x:v>
      </x:c>
      <x:c r="F230" t="str">
        <x:v>BBRAUN_INFUSOMAT</x:v>
      </x:c>
      <x:c r="G230" t="str">
        <x:v>BCM</x:v>
      </x:c>
      <x:c r="H230" t="str">
        <x:v>เช่ายืม</x:v>
      </x:c>
      <x:c r="I230" t="str">
        <x:v>พร้อมส่ง</x:v>
      </x:c>
      <x:c r="J230" t="str">
        <x:v>เช่ายืม</x:v>
      </x:c>
      <x:c r="K230" t="str">
        <x:v>อยู่ระหว่างเช่ายืม / เกินกำหนดคืน 39 วัน</x:v>
      </x:c>
      <x:c r="L230"/>
      <x:c r="M230" t="str">
        <x:f>IF(OR(H230="ใช้งานไม่ได้",H230="BROKEN",H230="Broken"),"ใช้งานไม่ได้",IF(OR(H230="ไม่พบในรายการ",H230="MISSING",H230="Missing"),"ไม่พบในรายการ",IF(OR(J230="เช่ายืม",J230="IN_USE",J230="IN-USE",H230="เช่ายืม"),"เช่ายืม",IF(H230="พร้อมส่ง","พร้อมส่ง","รอสอบเทียบ"))))</x:f>
        <x:v>เช่ายืม</x:v>
      </x:c>
    </x:row>
    <x:row r="231">
      <x:c r="A231" t="str">
        <x:v>39476</x:v>
      </x:c>
      <x:c r="B231" t="str">
        <x:v>39476</x:v>
      </x:c>
      <x:c r="C231" t="str">
        <x:v>B.Braun</x:v>
      </x:c>
      <x:c r="D231" t="str">
        <x:v>Infusomat Space</x:v>
      </x:c>
      <x:c r="E231" t="str">
        <x:v>Infusomat Space</x:v>
      </x:c>
      <x:c r="F231" t="str">
        <x:v>BBRAUN_INFUSOMAT</x:v>
      </x:c>
      <x:c r="G231" t="str">
        <x:v>BCM</x:v>
      </x:c>
      <x:c r="H231" t="str">
        <x:v>เช่ายืม</x:v>
      </x:c>
      <x:c r="I231" t="str">
        <x:v>พร้อมส่ง</x:v>
      </x:c>
      <x:c r="J231" t="str">
        <x:v>เช่ายืม</x:v>
      </x:c>
      <x:c r="K231" t="str">
        <x:v>อยู่ระหว่างเช่ายืม / เกินกำหนดคืน 39 วัน</x:v>
      </x:c>
      <x:c r="L231"/>
      <x:c r="M231" t="str">
        <x:f>IF(OR(H231="ใช้งานไม่ได้",H231="BROKEN",H231="Broken"),"ใช้งานไม่ได้",IF(OR(H231="ไม่พบในรายการ",H231="MISSING",H231="Missing"),"ไม่พบในรายการ",IF(OR(J231="เช่ายืม",J231="IN_USE",J231="IN-USE",H231="เช่ายืม"),"เช่ายืม",IF(H231="พร้อมส่ง","พร้อมส่ง","รอสอบเทียบ"))))</x:f>
        <x:v>เช่ายืม</x:v>
      </x:c>
    </x:row>
    <x:row r="232">
      <x:c r="A232" t="str">
        <x:v>39479</x:v>
      </x:c>
      <x:c r="B232" t="str">
        <x:v>39479</x:v>
      </x:c>
      <x:c r="C232" t="str">
        <x:v>B.Braun</x:v>
      </x:c>
      <x:c r="D232" t="str">
        <x:v>Infusomat Space</x:v>
      </x:c>
      <x:c r="E232" t="str">
        <x:v>Infusomat Space</x:v>
      </x:c>
      <x:c r="F232" t="str">
        <x:v>BBRAUN_INFUSOMAT</x:v>
      </x:c>
      <x:c r="G232" t="str">
        <x:v>BCM</x:v>
      </x:c>
      <x:c r="H232" t="str">
        <x:v>เช่ายืม</x:v>
      </x:c>
      <x:c r="I232" t="str">
        <x:v>พร้อมส่ง</x:v>
      </x:c>
      <x:c r="J232" t="str">
        <x:v>เช่ายืม</x:v>
      </x:c>
      <x:c r="K232" t="str">
        <x:v>อยู่ระหว่างเช่ายืม / เกินกำหนดคืน 39 วัน</x:v>
      </x:c>
      <x:c r="L232"/>
      <x:c r="M232" t="str">
        <x:f>IF(OR(H232="ใช้งานไม่ได้",H232="BROKEN",H232="Broken"),"ใช้งานไม่ได้",IF(OR(H232="ไม่พบในรายการ",H232="MISSING",H232="Missing"),"ไม่พบในรายการ",IF(OR(J232="เช่ายืม",J232="IN_USE",J232="IN-USE",H232="เช่ายืม"),"เช่ายืม",IF(H232="พร้อมส่ง","พร้อมส่ง","รอสอบเทียบ"))))</x:f>
        <x:v>เช่ายืม</x:v>
      </x:c>
    </x:row>
    <x:row r="233">
      <x:c r="A233" t="str">
        <x:v>468208</x:v>
      </x:c>
      <x:c r="B233" t="str">
        <x:v>NHBB0107</x:v>
      </x:c>
      <x:c r="C233" t="str">
        <x:v>B.Braun</x:v>
      </x:c>
      <x:c r="D233" t="str">
        <x:v>Infusomat Space</x:v>
      </x:c>
      <x:c r="E233" t="str">
        <x:v>Infusomat Space</x:v>
      </x:c>
      <x:c r="F233" t="str">
        <x:v>BBRAUN_INFUSOMAT</x:v>
      </x:c>
      <x:c r="G233" t="str">
        <x:v>ABSOLUTE HEALTH CLINIC</x:v>
      </x:c>
      <x:c r="H233" t="str">
        <x:v>เช่ายืม</x:v>
      </x:c>
      <x:c r="I233" t="str">
        <x:v>พร้อมส่ง</x:v>
      </x:c>
      <x:c r="J233" t="str">
        <x:v>เช่ายืม</x:v>
      </x:c>
      <x:c r="K233" t="str">
        <x:v>No action</x:v>
      </x:c>
      <x:c r="L233"/>
      <x:c r="M233" t="str">
        <x:f>IF(OR(H233="ใช้งานไม่ได้",H233="BROKEN",H233="Broken"),"ใช้งานไม่ได้",IF(OR(H233="ไม่พบในรายการ",H233="MISSING",H233="Missing"),"ไม่พบในรายการ",IF(OR(J233="เช่ายืม",J233="IN_USE",J233="IN-USE",H233="เช่ายืม"),"เช่ายืม",IF(H233="พร้อมส่ง","พร้อมส่ง","รอสอบเทียบ"))))</x:f>
        <x:v>เช่ายืม</x:v>
      </x:c>
    </x:row>
    <x:row r="234">
      <x:c r="A234" t="str">
        <x:v>468299</x:v>
      </x:c>
      <x:c r="B234" t="str">
        <x:v>468299</x:v>
      </x:c>
      <x:c r="C234" t="str">
        <x:v>B.Braun</x:v>
      </x:c>
      <x:c r="D234" t="str">
        <x:v>Infusomat Space</x:v>
      </x:c>
      <x:c r="E234" t="str">
        <x:v>Infusomat Space</x:v>
      </x:c>
      <x:c r="F234" t="str">
        <x:v>BBRAUN_INFUSOMAT</x:v>
      </x:c>
      <x:c r="G234" t="str">
        <x:v>BHP</x:v>
      </x:c>
      <x:c r="H234" t="str">
        <x:v>เช่ายืม</x:v>
      </x:c>
      <x:c r="I234" t="str">
        <x:v>พร้อมส่ง</x:v>
      </x:c>
      <x:c r="J234" t="str">
        <x:v>เช่ายืม</x:v>
      </x:c>
      <x:c r="K234" t="str">
        <x:v>อยู่ระหว่างเช่ายืม / เกินกำหนดคืน 60 วัน</x:v>
      </x:c>
      <x:c r="L234"/>
      <x:c r="M234" t="str">
        <x:f>IF(OR(H234="ใช้งานไม่ได้",H234="BROKEN",H234="Broken"),"ใช้งานไม่ได้",IF(OR(H234="ไม่พบในรายการ",H234="MISSING",H234="Missing"),"ไม่พบในรายการ",IF(OR(J234="เช่ายืม",J234="IN_USE",J234="IN-USE",H234="เช่ายืม"),"เช่ายืม",IF(H234="พร้อมส่ง","พร้อมส่ง","รอสอบเทียบ"))))</x:f>
        <x:v>เช่ายืม</x:v>
      </x:c>
    </x:row>
    <x:row r="235">
      <x:c r="A235" t="str">
        <x:v>468318</x:v>
      </x:c>
      <x:c r="B235" t="str">
        <x:v>468318</x:v>
      </x:c>
      <x:c r="C235" t="str">
        <x:v>B.Braun</x:v>
      </x:c>
      <x:c r="D235" t="str">
        <x:v>Infusomat Space</x:v>
      </x:c>
      <x:c r="E235" t="str">
        <x:v>Infusomat Space</x:v>
      </x:c>
      <x:c r="F235" t="str">
        <x:v>BBRAUN_INFUSOMAT</x:v>
      </x:c>
      <x:c r="G235" t="str">
        <x:v>Warehouse</x:v>
      </x:c>
      <x:c r="H235" t="str">
        <x:v>รอสอบเทียบ</x:v>
      </x:c>
      <x:c r="I235" t="str">
        <x:v>รอสอบเทียบ</x:v>
      </x:c>
      <x:c r="J235" t="str">
        <x:v>ไม่มีสัญญา</x:v>
      </x:c>
      <x:c r="K235" t="str">
        <x:v>รอสอบเทียบก่อนพร้อมส่ง</x:v>
      </x:c>
      <x:c r="L235" t="str">
        <x:v>ไม่ได้เช่ายืม = รอสอบเทียบ</x:v>
      </x:c>
      <x:c r="M235" t="str">
        <x:f>IF(OR(H235="ใช้งานไม่ได้",H235="BROKEN",H235="Broken"),"ใช้งานไม่ได้",IF(OR(H235="ไม่พบในรายการ",H235="MISSING",H235="Missing"),"ไม่พบในรายการ",IF(OR(J235="เช่ายืม",J235="IN_USE",J235="IN-USE",H235="เช่ายืม"),"เช่ายืม",IF(H235="พร้อมส่ง","พร้อมส่ง","รอสอบเทียบ"))))</x:f>
        <x:v>รอสอบเทียบ</x:v>
      </x:c>
    </x:row>
    <x:row r="236">
      <x:c r="A236" t="str">
        <x:v>468323</x:v>
      </x:c>
      <x:c r="B236" t="str">
        <x:v>NHBB0129</x:v>
      </x:c>
      <x:c r="C236" t="str">
        <x:v>B.Braun</x:v>
      </x:c>
      <x:c r="D236" t="str">
        <x:v>Infusomat Space</x:v>
      </x:c>
      <x:c r="E236" t="str">
        <x:v>Infusomat Space</x:v>
      </x:c>
      <x:c r="F236" t="str">
        <x:v>BBRAUN_INFUSOMAT</x:v>
      </x:c>
      <x:c r="G236" t="str">
        <x:v>ABSOLUTE HEALTH CLINIC</x:v>
      </x:c>
      <x:c r="H236" t="str">
        <x:v>เช่ายืม</x:v>
      </x:c>
      <x:c r="I236" t="str">
        <x:v>พร้อมส่ง</x:v>
      </x:c>
      <x:c r="J236" t="str">
        <x:v>เช่ายืม</x:v>
      </x:c>
      <x:c r="K236" t="str">
        <x:v>No action</x:v>
      </x:c>
      <x:c r="L236"/>
      <x:c r="M236" t="str">
        <x:f>IF(OR(H236="ใช้งานไม่ได้",H236="BROKEN",H236="Broken"),"ใช้งานไม่ได้",IF(OR(H236="ไม่พบในรายการ",H236="MISSING",H236="Missing"),"ไม่พบในรายการ",IF(OR(J236="เช่ายืม",J236="IN_USE",J236="IN-USE",H236="เช่ายืม"),"เช่ายืม",IF(H236="พร้อมส่ง","พร้อมส่ง","รอสอบเทียบ"))))</x:f>
        <x:v>เช่ายืม</x:v>
      </x:c>
    </x:row>
    <x:row r="237">
      <x:c r="A237" t="str">
        <x:v>46833</x:v>
      </x:c>
      <x:c r="B237" t="str">
        <x:v>46833</x:v>
      </x:c>
      <x:c r="C237" t="str">
        <x:v>B.Braun</x:v>
      </x:c>
      <x:c r="D237" t="str">
        <x:v>Infusomat Space</x:v>
      </x:c>
      <x:c r="E237" t="str">
        <x:v>Infusomat Space</x:v>
      </x:c>
      <x:c r="F237" t="str">
        <x:v>BBRAUN_INFUSOMAT</x:v>
      </x:c>
      <x:c r="G237" t="str">
        <x:v>Warehouse</x:v>
      </x:c>
      <x:c r="H237" t="str">
        <x:v>รอสอบเทียบ</x:v>
      </x:c>
      <x:c r="I237" t="str">
        <x:v>รอสอบเทียบ</x:v>
      </x:c>
      <x:c r="J237" t="str">
        <x:v>ไม่มีสัญญา</x:v>
      </x:c>
      <x:c r="K237" t="str">
        <x:v>รอสอบเทียบก่อนพร้อมส่ง</x:v>
      </x:c>
      <x:c r="L237" t="str">
        <x:v>ไม่ได้เช่ายืม = รอสอบเทียบ</x:v>
      </x:c>
      <x:c r="M237" t="str">
        <x:f>IF(OR(H237="ใช้งานไม่ได้",H237="BROKEN",H237="Broken"),"ใช้งานไม่ได้",IF(OR(H237="ไม่พบในรายการ",H237="MISSING",H237="Missing"),"ไม่พบในรายการ",IF(OR(J237="เช่ายืม",J237="IN_USE",J237="IN-USE",H237="เช่ายืม"),"เช่ายืม",IF(H237="พร้อมส่ง","พร้อมส่ง","รอสอบเทียบ"))))</x:f>
        <x:v>รอสอบเทียบ</x:v>
      </x:c>
    </x:row>
    <x:row r="238">
      <x:c r="A238" t="str">
        <x:v>468337</x:v>
      </x:c>
      <x:c r="B238" t="str">
        <x:v>468337</x:v>
      </x:c>
      <x:c r="C238" t="str">
        <x:v>B.Braun</x:v>
      </x:c>
      <x:c r="D238" t="str">
        <x:v>Infusomat Space</x:v>
      </x:c>
      <x:c r="E238" t="str">
        <x:v>Infusomat Space</x:v>
      </x:c>
      <x:c r="F238" t="str">
        <x:v>BBRAUN_INFUSOMAT</x:v>
      </x:c>
      <x:c r="G238" t="str">
        <x:v>Warehouse</x:v>
      </x:c>
      <x:c r="H238" t="str">
        <x:v>รอสอบเทียบ</x:v>
      </x:c>
      <x:c r="I238" t="str">
        <x:v>รอสอบเทียบ</x:v>
      </x:c>
      <x:c r="J238" t="str">
        <x:v>ไม่มีสัญญา</x:v>
      </x:c>
      <x:c r="K238" t="str">
        <x:v>รอสอบเทียบก่อนพร้อมส่ง</x:v>
      </x:c>
      <x:c r="L238" t="str">
        <x:v>ไม่ได้เช่ายืม = รอสอบเทียบ</x:v>
      </x:c>
      <x:c r="M238" t="str">
        <x:f>IF(OR(H238="ใช้งานไม่ได้",H238="BROKEN",H238="Broken"),"ใช้งานไม่ได้",IF(OR(H238="ไม่พบในรายการ",H238="MISSING",H238="Missing"),"ไม่พบในรายการ",IF(OR(J238="เช่ายืม",J238="IN_USE",J238="IN-USE",H238="เช่ายืม"),"เช่ายืม",IF(H238="พร้อมส่ง","พร้อมส่ง","รอสอบเทียบ"))))</x:f>
        <x:v>รอสอบเทียบ</x:v>
      </x:c>
    </x:row>
    <x:row r="239">
      <x:c r="A239" t="str">
        <x:v>468346</x:v>
      </x:c>
      <x:c r="B239" t="str">
        <x:v>NHBB0128</x:v>
      </x:c>
      <x:c r="C239" t="str">
        <x:v>B.Braun</x:v>
      </x:c>
      <x:c r="D239" t="str">
        <x:v>Infusomat Space</x:v>
      </x:c>
      <x:c r="E239" t="str">
        <x:v>Infusomat Space</x:v>
      </x:c>
      <x:c r="F239" t="str">
        <x:v>BBRAUN_INFUSOMAT</x:v>
      </x:c>
      <x:c r="G239" t="str">
        <x:v>ABSOLUTE HEALTH CLINIC</x:v>
      </x:c>
      <x:c r="H239" t="str">
        <x:v>เช่ายืม</x:v>
      </x:c>
      <x:c r="I239" t="str">
        <x:v>พร้อมส่ง</x:v>
      </x:c>
      <x:c r="J239" t="str">
        <x:v>เช่ายืม</x:v>
      </x:c>
      <x:c r="K239" t="str">
        <x:v>No action</x:v>
      </x:c>
      <x:c r="L239"/>
      <x:c r="M239" t="str">
        <x:f>IF(OR(H239="ใช้งานไม่ได้",H239="BROKEN",H239="Broken"),"ใช้งานไม่ได้",IF(OR(H239="ไม่พบในรายการ",H239="MISSING",H239="Missing"),"ไม่พบในรายการ",IF(OR(J239="เช่ายืม",J239="IN_USE",J239="IN-USE",H239="เช่ายืม"),"เช่ายืม",IF(H239="พร้อมส่ง","พร้อมส่ง","รอสอบเทียบ"))))</x:f>
        <x:v>เช่ายืม</x:v>
      </x:c>
    </x:row>
    <x:row r="240">
      <x:c r="A240" t="str">
        <x:v>468351</x:v>
      </x:c>
      <x:c r="B240" t="str">
        <x:v>468351</x:v>
      </x:c>
      <x:c r="C240" t="str">
        <x:v>B.Braun</x:v>
      </x:c>
      <x:c r="D240" t="str">
        <x:v>Infusomat Space</x:v>
      </x:c>
      <x:c r="E240" t="str">
        <x:v>Infusomat Space</x:v>
      </x:c>
      <x:c r="F240" t="str">
        <x:v>BBRAUN_INFUSOMAT</x:v>
      </x:c>
      <x:c r="G240" t="str">
        <x:v>Warehouse</x:v>
      </x:c>
      <x:c r="H240" t="str">
        <x:v>รอสอบเทียบ</x:v>
      </x:c>
      <x:c r="I240" t="str">
        <x:v>รอสอบเทียบ</x:v>
      </x:c>
      <x:c r="J240" t="str">
        <x:v>ไม่มีสัญญา</x:v>
      </x:c>
      <x:c r="K240" t="str">
        <x:v>รอสอบเทียบก่อนพร้อมส่ง</x:v>
      </x:c>
      <x:c r="L240" t="str">
        <x:v>ไม่ได้เช่ายืม = รอสอบเทียบ</x:v>
      </x:c>
      <x:c r="M240" t="str">
        <x:f>IF(OR(H240="ใช้งานไม่ได้",H240="BROKEN",H240="Broken"),"ใช้งานไม่ได้",IF(OR(H240="ไม่พบในรายการ",H240="MISSING",H240="Missing"),"ไม่พบในรายการ",IF(OR(J240="เช่ายืม",J240="IN_USE",J240="IN-USE",H240="เช่ายืม"),"เช่ายืม",IF(H240="พร้อมส่ง","พร้อมส่ง","รอสอบเทียบ"))))</x:f>
        <x:v>รอสอบเทียบ</x:v>
      </x:c>
    </x:row>
    <x:row r="241">
      <x:c r="A241" t="str">
        <x:v>468356</x:v>
      </x:c>
      <x:c r="B241" t="str">
        <x:v>468356</x:v>
      </x:c>
      <x:c r="C241" t="str">
        <x:v>B.Braun</x:v>
      </x:c>
      <x:c r="D241" t="str">
        <x:v>Infusomat Space</x:v>
      </x:c>
      <x:c r="E241" t="str">
        <x:v>Infusomat Space</x:v>
      </x:c>
      <x:c r="F241" t="str">
        <x:v>BBRAUN_INFUSOMAT</x:v>
      </x:c>
      <x:c r="G241" t="str">
        <x:v>ABSOLUTE HEALTH CLINIC</x:v>
      </x:c>
      <x:c r="H241" t="str">
        <x:v>เช่ายืม</x:v>
      </x:c>
      <x:c r="I241" t="str">
        <x:v>พร้อมส่ง</x:v>
      </x:c>
      <x:c r="J241" t="str">
        <x:v>เช่ายืม</x:v>
      </x:c>
      <x:c r="K241" t="str">
        <x:v>อยู่ระหว่างเช่ายืม / เกินกำหนดคืน 90 วัน</x:v>
      </x:c>
      <x:c r="L241"/>
      <x:c r="M241" t="str">
        <x:f>IF(OR(H241="ใช้งานไม่ได้",H241="BROKEN",H241="Broken"),"ใช้งานไม่ได้",IF(OR(H241="ไม่พบในรายการ",H241="MISSING",H241="Missing"),"ไม่พบในรายการ",IF(OR(J241="เช่ายืม",J241="IN_USE",J241="IN-USE",H241="เช่ายืม"),"เช่ายืม",IF(H241="พร้อมส่ง","พร้อมส่ง","รอสอบเทียบ"))))</x:f>
        <x:v>เช่ายืม</x:v>
      </x:c>
    </x:row>
    <x:row r="242">
      <x:c r="A242" t="str">
        <x:v>468360</x:v>
      </x:c>
      <x:c r="B242" t="str">
        <x:v>468360</x:v>
      </x:c>
      <x:c r="C242" t="str">
        <x:v>B.Braun</x:v>
      </x:c>
      <x:c r="D242" t="str">
        <x:v>Infusomat Space</x:v>
      </x:c>
      <x:c r="E242" t="str">
        <x:v>Infusomat Space</x:v>
      </x:c>
      <x:c r="F242" t="str">
        <x:v>BBRAUN_INFUSOMAT</x:v>
      </x:c>
      <x:c r="G242" t="str">
        <x:v>BHP</x:v>
      </x:c>
      <x:c r="H242" t="str">
        <x:v>เช่ายืม</x:v>
      </x:c>
      <x:c r="I242" t="str">
        <x:v>พร้อมส่ง</x:v>
      </x:c>
      <x:c r="J242" t="str">
        <x:v>เช่ายืม</x:v>
      </x:c>
      <x:c r="K242" t="str">
        <x:v>อยู่ระหว่างเช่ายืม / เกินกำหนดคืน 60 วัน</x:v>
      </x:c>
      <x:c r="L242"/>
      <x:c r="M242" t="str">
        <x:f>IF(OR(H242="ใช้งานไม่ได้",H242="BROKEN",H242="Broken"),"ใช้งานไม่ได้",IF(OR(H242="ไม่พบในรายการ",H242="MISSING",H242="Missing"),"ไม่พบในรายการ",IF(OR(J242="เช่ายืม",J242="IN_USE",J242="IN-USE",H242="เช่ายืม"),"เช่ายืม",IF(H242="พร้อมส่ง","พร้อมส่ง","รอสอบเทียบ"))))</x:f>
        <x:v>เช่ายืม</x:v>
      </x:c>
    </x:row>
    <x:row r="243">
      <x:c r="A243" t="str">
        <x:v>468501</x:v>
      </x:c>
      <x:c r="B243" t="str">
        <x:v>468501</x:v>
      </x:c>
      <x:c r="C243" t="str">
        <x:v>B.Braun</x:v>
      </x:c>
      <x:c r="D243" t="str">
        <x:v>Infusomat Space</x:v>
      </x:c>
      <x:c r="E243" t="str">
        <x:v>Infusomat Space</x:v>
      </x:c>
      <x:c r="F243" t="str">
        <x:v>BBRAUN_INFUSOMAT</x:v>
      </x:c>
      <x:c r="G243" t="str">
        <x:v>BHP</x:v>
      </x:c>
      <x:c r="H243" t="str">
        <x:v>เช่ายืม</x:v>
      </x:c>
      <x:c r="I243" t="str">
        <x:v>พร้อมส่ง</x:v>
      </x:c>
      <x:c r="J243" t="str">
        <x:v>เช่ายืม</x:v>
      </x:c>
      <x:c r="K243" t="str">
        <x:v>อยู่ระหว่างเช่ายืม / เกินกำหนดคืน 60 วัน</x:v>
      </x:c>
      <x:c r="L243"/>
      <x:c r="M243" t="str">
        <x:f>IF(OR(H243="ใช้งานไม่ได้",H243="BROKEN",H243="Broken"),"ใช้งานไม่ได้",IF(OR(H243="ไม่พบในรายการ",H243="MISSING",H243="Missing"),"ไม่พบในรายการ",IF(OR(J243="เช่ายืม",J243="IN_USE",J243="IN-USE",H243="เช่ายืม"),"เช่ายืม",IF(H243="พร้อมส่ง","พร้อมส่ง","รอสอบเทียบ"))))</x:f>
        <x:v>เช่ายืม</x:v>
      </x:c>
    </x:row>
    <x:row r="244">
      <x:c r="A244" t="str">
        <x:v>468514</x:v>
      </x:c>
      <x:c r="B244" t="str">
        <x:v>468514</x:v>
      </x:c>
      <x:c r="C244" t="str">
        <x:v>B.Braun</x:v>
      </x:c>
      <x:c r="D244" t="str">
        <x:v>Infusomat Space</x:v>
      </x:c>
      <x:c r="E244" t="str">
        <x:v>Infusomat Space</x:v>
      </x:c>
      <x:c r="F244" t="str">
        <x:v>BBRAUN_INFUSOMAT</x:v>
      </x:c>
      <x:c r="G244" t="str">
        <x:v>Absolute Health Bangkok</x:v>
      </x:c>
      <x:c r="H244" t="str">
        <x:v>เช่ายืม</x:v>
      </x:c>
      <x:c r="I244" t="str">
        <x:v>พร้อมส่ง</x:v>
      </x:c>
      <x:c r="J244" t="str">
        <x:v>เช่ายืม</x:v>
      </x:c>
      <x:c r="K244" t="str">
        <x:v>อยู่ระหว่างเช่ายืม / เกินกำหนดคืน 21 วัน</x:v>
      </x:c>
      <x:c r="L244"/>
      <x:c r="M244" t="str">
        <x:f>IF(OR(H244="ใช้งานไม่ได้",H244="BROKEN",H244="Broken"),"ใช้งานไม่ได้",IF(OR(H244="ไม่พบในรายการ",H244="MISSING",H244="Missing"),"ไม่พบในรายการ",IF(OR(J244="เช่ายืม",J244="IN_USE",J244="IN-USE",H244="เช่ายืม"),"เช่ายืม",IF(H244="พร้อมส่ง","พร้อมส่ง","รอสอบเทียบ"))))</x:f>
        <x:v>เช่ายืม</x:v>
      </x:c>
    </x:row>
    <x:row r="245">
      <x:c r="A245" t="str">
        <x:v>468533</x:v>
      </x:c>
      <x:c r="B245" t="str">
        <x:v>NHBB0384</x:v>
      </x:c>
      <x:c r="C245" t="str">
        <x:v>B.Braun</x:v>
      </x:c>
      <x:c r="D245" t="str">
        <x:v>Infusomat Space</x:v>
      </x:c>
      <x:c r="E245" t="str">
        <x:v>Infusomat Space</x:v>
      </x:c>
      <x:c r="F245" t="str">
        <x:v>BBRAUN_INFUSOMAT</x:v>
      </x:c>
      <x:c r="G245" t="str">
        <x:v>รพ.วันเวลา</x:v>
      </x:c>
      <x:c r="H245" t="str">
        <x:v>เช่ายืม</x:v>
      </x:c>
      <x:c r="I245" t="str">
        <x:v>พร้อมส่ง</x:v>
      </x:c>
      <x:c r="J245" t="str">
        <x:v>เช่ายืม</x:v>
      </x:c>
      <x:c r="K245" t="str">
        <x:v>No action</x:v>
      </x:c>
      <x:c r="L245"/>
      <x:c r="M245" t="str">
        <x:f>IF(OR(H245="ใช้งานไม่ได้",H245="BROKEN",H245="Broken"),"ใช้งานไม่ได้",IF(OR(H245="ไม่พบในรายการ",H245="MISSING",H245="Missing"),"ไม่พบในรายการ",IF(OR(J245="เช่ายืม",J245="IN_USE",J245="IN-USE",H245="เช่ายืม"),"เช่ายืม",IF(H245="พร้อมส่ง","พร้อมส่ง","รอสอบเทียบ"))))</x:f>
        <x:v>เช่ายืม</x:v>
      </x:c>
    </x:row>
    <x:row r="246">
      <x:c r="A246" t="str">
        <x:v>468535</x:v>
      </x:c>
      <x:c r="B246" t="str">
        <x:v>468535</x:v>
      </x:c>
      <x:c r="C246" t="str">
        <x:v>B.Braun</x:v>
      </x:c>
      <x:c r="D246" t="str">
        <x:v>Infusomat Space</x:v>
      </x:c>
      <x:c r="E246" t="str">
        <x:v>Infusomat Space</x:v>
      </x:c>
      <x:c r="F246" t="str">
        <x:v>BBRAUN_INFUSOMAT</x:v>
      </x:c>
      <x:c r="G246" t="str">
        <x:v>Warehouse</x:v>
      </x:c>
      <x:c r="H246" t="str">
        <x:v>รอสอบเทียบ</x:v>
      </x:c>
      <x:c r="I246" t="str">
        <x:v>รอสอบเทียบ</x:v>
      </x:c>
      <x:c r="J246" t="str">
        <x:v>ไม่มีสัญญา</x:v>
      </x:c>
      <x:c r="K246" t="str">
        <x:v>รอสอบเทียบก่อนพร้อมส่ง</x:v>
      </x:c>
      <x:c r="L246" t="str">
        <x:v>ไม่ได้เช่ายืม = รอสอบเทียบ</x:v>
      </x:c>
      <x:c r="M246" t="str">
        <x:f>IF(OR(H246="ใช้งานไม่ได้",H246="BROKEN",H246="Broken"),"ใช้งานไม่ได้",IF(OR(H246="ไม่พบในรายการ",H246="MISSING",H246="Missing"),"ไม่พบในรายการ",IF(OR(J246="เช่ายืม",J246="IN_USE",J246="IN-USE",H246="เช่ายืม"),"เช่ายืม",IF(H246="พร้อมส่ง","พร้อมส่ง","รอสอบเทียบ"))))</x:f>
        <x:v>รอสอบเทียบ</x:v>
      </x:c>
    </x:row>
    <x:row r="247">
      <x:c r="A247" t="str">
        <x:v>468640</x:v>
      </x:c>
      <x:c r="B247" t="str">
        <x:v>468640</x:v>
      </x:c>
      <x:c r="C247" t="str">
        <x:v>B.Braun</x:v>
      </x:c>
      <x:c r="D247" t="str">
        <x:v>Infusomat Space</x:v>
      </x:c>
      <x:c r="E247" t="str">
        <x:v>Infusomat Space</x:v>
      </x:c>
      <x:c r="F247" t="str">
        <x:v>BBRAUN_INFUSOMAT</x:v>
      </x:c>
      <x:c r="G247" t="str">
        <x:v>BME-BKN</x:v>
      </x:c>
      <x:c r="H247" t="str">
        <x:v>เช่ายืม</x:v>
      </x:c>
      <x:c r="I247" t="str">
        <x:v>พร้อมส่ง</x:v>
      </x:c>
      <x:c r="J247" t="str">
        <x:v>เช่ายืม</x:v>
      </x:c>
      <x:c r="K247" t="str">
        <x:v>อยู่ระหว่างเช่ายืม / เกินกำหนดคืน 60 วัน</x:v>
      </x:c>
      <x:c r="L247"/>
      <x:c r="M247" t="str">
        <x:f>IF(OR(H247="ใช้งานไม่ได้",H247="BROKEN",H247="Broken"),"ใช้งานไม่ได้",IF(OR(H247="ไม่พบในรายการ",H247="MISSING",H247="Missing"),"ไม่พบในรายการ",IF(OR(J247="เช่ายืม",J247="IN_USE",J247="IN-USE",H247="เช่ายืม"),"เช่ายืม",IF(H247="พร้อมส่ง","พร้อมส่ง","รอสอบเทียบ"))))</x:f>
        <x:v>เช่ายืม</x:v>
      </x:c>
    </x:row>
    <x:row r="248">
      <x:c r="A248" t="str">
        <x:v>468643</x:v>
      </x:c>
      <x:c r="B248" t="str">
        <x:v>NHBB0419</x:v>
      </x:c>
      <x:c r="C248" t="str">
        <x:v>B.Braun</x:v>
      </x:c>
      <x:c r="D248" t="str">
        <x:v>Infusomat Space</x:v>
      </x:c>
      <x:c r="E248" t="str">
        <x:v>Infusomat Space</x:v>
      </x:c>
      <x:c r="F248" t="str">
        <x:v>BBRAUN_INFUSOMAT</x:v>
      </x:c>
      <x:c r="G248" t="str">
        <x:v>รพ.เชียงรายประชานุเคราะห์</x:v>
      </x:c>
      <x:c r="H248" t="str">
        <x:v>เช่ายืม</x:v>
      </x:c>
      <x:c r="I248" t="str">
        <x:v>พร้อมส่ง</x:v>
      </x:c>
      <x:c r="J248" t="str">
        <x:v>เช่ายืม</x:v>
      </x:c>
      <x:c r="K248" t="str">
        <x:v>No action</x:v>
      </x:c>
      <x:c r="L248"/>
      <x:c r="M248" t="str">
        <x:f>IF(OR(H248="ใช้งานไม่ได้",H248="BROKEN",H248="Broken"),"ใช้งานไม่ได้",IF(OR(H248="ไม่พบในรายการ",H248="MISSING",H248="Missing"),"ไม่พบในรายการ",IF(OR(J248="เช่ายืม",J248="IN_USE",J248="IN-USE",H248="เช่ายืม"),"เช่ายืม",IF(H248="พร้อมส่ง","พร้อมส่ง","รอสอบเทียบ"))))</x:f>
        <x:v>เช่ายืม</x:v>
      </x:c>
    </x:row>
    <x:row r="249">
      <x:c r="A249" t="str">
        <x:v>SN_468658</x:v>
      </x:c>
      <x:c r="B249" t="str">
        <x:v>468658</x:v>
      </x:c>
      <x:c r="C249" t="str">
        <x:v>B.Braun</x:v>
      </x:c>
      <x:c r="D249" t="str">
        <x:v>Infusomat Space</x:v>
      </x:c>
      <x:c r="E249" t="str">
        <x:v>Infusomat Space</x:v>
      </x:c>
      <x:c r="F249" t="str">
        <x:v>BBRAUN_INFUSOMAT</x:v>
      </x:c>
      <x:c r="G249" t="str">
        <x:v>Warehouse</x:v>
      </x:c>
      <x:c r="H249" t="str">
        <x:v>รอสอบเทียบ</x:v>
      </x:c>
      <x:c r="I249" t="str">
        <x:v>รอสอบเทียบ</x:v>
      </x:c>
      <x:c r="J249" t="str">
        <x:v>ไม่มีสัญญา</x:v>
      </x:c>
      <x:c r="K249" t="str">
        <x:v>รอสอบเทียบก่อนพร้อมส่ง</x:v>
      </x:c>
      <x:c r="L249" t="str">
        <x:v>ไม่ได้เช่ายืม = รอสอบเทียบ</x:v>
      </x:c>
      <x:c r="M249" t="str">
        <x:f>IF(OR(H249="ใช้งานไม่ได้",H249="BROKEN",H249="Broken"),"ใช้งานไม่ได้",IF(OR(H249="ไม่พบในรายการ",H249="MISSING",H249="Missing"),"ไม่พบในรายการ",IF(OR(J249="เช่ายืม",J249="IN_USE",J249="IN-USE",H249="เช่ายืม"),"เช่ายืม",IF(H249="พร้อมส่ง","พร้อมส่ง","รอสอบเทียบ"))))</x:f>
        <x:v>รอสอบเทียบ</x:v>
      </x:c>
    </x:row>
    <x:row r="250">
      <x:c r="A250" t="str">
        <x:v>468668</x:v>
      </x:c>
      <x:c r="B250" t="str">
        <x:v>468668</x:v>
      </x:c>
      <x:c r="C250" t="str">
        <x:v>B.Braun</x:v>
      </x:c>
      <x:c r="D250" t="str">
        <x:v>Infusomat Space</x:v>
      </x:c>
      <x:c r="E250" t="str">
        <x:v>Infusomat Space</x:v>
      </x:c>
      <x:c r="F250" t="str">
        <x:v>BBRAUN_INFUSOMAT</x:v>
      </x:c>
      <x:c r="G250" t="str">
        <x:v>BME-BKN</x:v>
      </x:c>
      <x:c r="H250" t="str">
        <x:v>เช่ายืม</x:v>
      </x:c>
      <x:c r="I250" t="str">
        <x:v>พร้อมส่ง</x:v>
      </x:c>
      <x:c r="J250" t="str">
        <x:v>เช่ายืม</x:v>
      </x:c>
      <x:c r="K250" t="str">
        <x:v>อยู่ระหว่างเช่ายืม / เกินกำหนดคืน 60 วัน</x:v>
      </x:c>
      <x:c r="L250"/>
      <x:c r="M250" t="str">
        <x:f>IF(OR(H250="ใช้งานไม่ได้",H250="BROKEN",H250="Broken"),"ใช้งานไม่ได้",IF(OR(H250="ไม่พบในรายการ",H250="MISSING",H250="Missing"),"ไม่พบในรายการ",IF(OR(J250="เช่ายืม",J250="IN_USE",J250="IN-USE",H250="เช่ายืม"),"เช่ายืม",IF(H250="พร้อมส่ง","พร้อมส่ง","รอสอบเทียบ"))))</x:f>
        <x:v>เช่ายืม</x:v>
      </x:c>
    </x:row>
    <x:row r="251">
      <x:c r="A251" t="str">
        <x:v>468697</x:v>
      </x:c>
      <x:c r="B251" t="str">
        <x:v>NHBB0381</x:v>
      </x:c>
      <x:c r="C251" t="str">
        <x:v>B.Braun</x:v>
      </x:c>
      <x:c r="D251" t="str">
        <x:v>Infusomat Space</x:v>
      </x:c>
      <x:c r="E251" t="str">
        <x:v>Infusomat Space</x:v>
      </x:c>
      <x:c r="F251" t="str">
        <x:v>BBRAUN_INFUSOMAT</x:v>
      </x:c>
      <x:c r="G251" t="str">
        <x:v>Warehouse</x:v>
      </x:c>
      <x:c r="H251" t="str">
        <x:v>รอสอบเทียบ</x:v>
      </x:c>
      <x:c r="I251" t="str">
        <x:v>รอสอบเทียบ</x:v>
      </x:c>
      <x:c r="J251" t="str">
        <x:v>ไม่มีสัญญา</x:v>
      </x:c>
      <x:c r="K251" t="str">
        <x:v>รอสอบเทียบก่อนพร้อมส่ง</x:v>
      </x:c>
      <x:c r="L251" t="str">
        <x:v>ไม่ได้เช่ายืม = รอสอบเทียบ</x:v>
      </x:c>
      <x:c r="M251" t="str">
        <x:f>IF(OR(H251="ใช้งานไม่ได้",H251="BROKEN",H251="Broken"),"ใช้งานไม่ได้",IF(OR(H251="ไม่พบในรายการ",H251="MISSING",H251="Missing"),"ไม่พบในรายการ",IF(OR(J251="เช่ายืม",J251="IN_USE",J251="IN-USE",H251="เช่ายืม"),"เช่ายืม",IF(H251="พร้อมส่ง","พร้อมส่ง","รอสอบเทียบ"))))</x:f>
        <x:v>รอสอบเทียบ</x:v>
      </x:c>
    </x:row>
    <x:row r="252">
      <x:c r="A252" t="str">
        <x:v>468698</x:v>
      </x:c>
      <x:c r="B252" t="str">
        <x:v>468698</x:v>
      </x:c>
      <x:c r="C252" t="str">
        <x:v>B.Braun</x:v>
      </x:c>
      <x:c r="D252" t="str">
        <x:v>Infusomat Space</x:v>
      </x:c>
      <x:c r="E252" t="str">
        <x:v>Infusomat Space</x:v>
      </x:c>
      <x:c r="F252" t="str">
        <x:v>BBRAUN_INFUSOMAT</x:v>
      </x:c>
      <x:c r="G252" t="str">
        <x:v>รพ.เชียงรายประชานุเคราะห์</x:v>
      </x:c>
      <x:c r="H252" t="str">
        <x:v>เช่ายืม</x:v>
      </x:c>
      <x:c r="I252" t="str">
        <x:v>พร้อมส่ง</x:v>
      </x:c>
      <x:c r="J252" t="str">
        <x:v>เช่ายืม</x:v>
      </x:c>
      <x:c r="K252" t="str">
        <x:v>อยู่ระหว่างเช่ายืม / เกินกำหนดคืน 275 วัน</x:v>
      </x:c>
      <x:c r="L252"/>
      <x:c r="M252" t="str">
        <x:f>IF(OR(H252="ใช้งานไม่ได้",H252="BROKEN",H252="Broken"),"ใช้งานไม่ได้",IF(OR(H252="ไม่พบในรายการ",H252="MISSING",H252="Missing"),"ไม่พบในรายการ",IF(OR(J252="เช่ายืม",J252="IN_USE",J252="IN-USE",H252="เช่ายืม"),"เช่ายืม",IF(H252="พร้อมส่ง","พร้อมส่ง","รอสอบเทียบ"))))</x:f>
        <x:v>เช่ายืม</x:v>
      </x:c>
    </x:row>
    <x:row r="253">
      <x:c r="A253" t="str">
        <x:v>468715</x:v>
      </x:c>
      <x:c r="B253" t="str">
        <x:v>468715</x:v>
      </x:c>
      <x:c r="C253" t="str">
        <x:v>B.Braun</x:v>
      </x:c>
      <x:c r="D253" t="str">
        <x:v>Infusomat Space</x:v>
      </x:c>
      <x:c r="E253" t="str">
        <x:v>Infusomat Space</x:v>
      </x:c>
      <x:c r="F253" t="str">
        <x:v>BBRAUN_INFUSOMAT</x:v>
      </x:c>
      <x:c r="G253" t="str">
        <x:v>Warehouse</x:v>
      </x:c>
      <x:c r="H253" t="str">
        <x:v>รอสอบเทียบ</x:v>
      </x:c>
      <x:c r="I253" t="str">
        <x:v>รอสอบเทียบ</x:v>
      </x:c>
      <x:c r="J253" t="str">
        <x:v>ไม่มีสัญญา</x:v>
      </x:c>
      <x:c r="K253" t="str">
        <x:v>รอสอบเทียบก่อนพร้อมส่ง</x:v>
      </x:c>
      <x:c r="L253" t="str">
        <x:v>ไม่ได้เช่ายืม = รอสอบเทียบ</x:v>
      </x:c>
      <x:c r="M253" t="str">
        <x:f>IF(OR(H253="ใช้งานไม่ได้",H253="BROKEN",H253="Broken"),"ใช้งานไม่ได้",IF(OR(H253="ไม่พบในรายการ",H253="MISSING",H253="Missing"),"ไม่พบในรายการ",IF(OR(J253="เช่ายืม",J253="IN_USE",J253="IN-USE",H253="เช่ายืม"),"เช่ายืม",IF(H253="พร้อมส่ง","พร้อมส่ง","รอสอบเทียบ"))))</x:f>
        <x:v>รอสอบเทียบ</x:v>
      </x:c>
    </x:row>
    <x:row r="254">
      <x:c r="A254" t="str">
        <x:v>506448</x:v>
      </x:c>
      <x:c r="B254" t="str">
        <x:v>506448</x:v>
      </x:c>
      <x:c r="C254" t="str">
        <x:v>B.Braun</x:v>
      </x:c>
      <x:c r="D254" t="str">
        <x:v>Infusomat Space</x:v>
      </x:c>
      <x:c r="E254" t="str">
        <x:v>Infusomat Space</x:v>
      </x:c>
      <x:c r="F254" t="str">
        <x:v>BBRAUN_INFUSOMAT</x:v>
      </x:c>
      <x:c r="G254" t="str">
        <x:v>Warehouse</x:v>
      </x:c>
      <x:c r="H254" t="str">
        <x:v>รอสอบเทียบ</x:v>
      </x:c>
      <x:c r="I254" t="str">
        <x:v>รอสอบเทียบ</x:v>
      </x:c>
      <x:c r="J254" t="str">
        <x:v>ไม่มีสัญญา</x:v>
      </x:c>
      <x:c r="K254" t="str">
        <x:v>รอสอบเทียบก่อนพร้อมส่ง</x:v>
      </x:c>
      <x:c r="L254" t="str">
        <x:v>ไม่ได้เช่ายืม = รอสอบเทียบ</x:v>
      </x:c>
      <x:c r="M254" t="str">
        <x:f>IF(OR(H254="ใช้งานไม่ได้",H254="BROKEN",H254="Broken"),"ใช้งานไม่ได้",IF(OR(H254="ไม่พบในรายการ",H254="MISSING",H254="Missing"),"ไม่พบในรายการ",IF(OR(J254="เช่ายืม",J254="IN_USE",J254="IN-USE",H254="เช่ายืม"),"เช่ายืม",IF(H254="พร้อมส่ง","พร้อมส่ง","รอสอบเทียบ"))))</x:f>
        <x:v>รอสอบเทียบ</x:v>
      </x:c>
    </x:row>
    <x:row r="255">
      <x:c r="A255" t="str">
        <x:v>506477</x:v>
      </x:c>
      <x:c r="B255" t="str">
        <x:v>506477</x:v>
      </x:c>
      <x:c r="C255" t="str">
        <x:v>B.Braun</x:v>
      </x:c>
      <x:c r="D255" t="str">
        <x:v>Infusomat Space</x:v>
      </x:c>
      <x:c r="E255" t="str">
        <x:v>Infusomat Space</x:v>
      </x:c>
      <x:c r="F255" t="str">
        <x:v>BBRAUN_INFUSOMAT</x:v>
      </x:c>
      <x:c r="G255" t="str">
        <x:v>ABSOLUTE HEALTH CLINIC</x:v>
      </x:c>
      <x:c r="H255" t="str">
        <x:v>เช่ายืม</x:v>
      </x:c>
      <x:c r="I255" t="str">
        <x:v>พร้อมส่ง</x:v>
      </x:c>
      <x:c r="J255" t="str">
        <x:v>เช่ายืม</x:v>
      </x:c>
      <x:c r="K255" t="str">
        <x:v>อยู่ระหว่างเช่ายืม / เกินกำหนดคืน 90 วัน</x:v>
      </x:c>
      <x:c r="L255"/>
      <x:c r="M255" t="str">
        <x:f>IF(OR(H255="ใช้งานไม่ได้",H255="BROKEN",H255="Broken"),"ใช้งานไม่ได้",IF(OR(H255="ไม่พบในรายการ",H255="MISSING",H255="Missing"),"ไม่พบในรายการ",IF(OR(J255="เช่ายืม",J255="IN_USE",J255="IN-USE",H255="เช่ายืม"),"เช่ายืม",IF(H255="พร้อมส่ง","พร้อมส่ง","รอสอบเทียบ"))))</x:f>
        <x:v>เช่ายืม</x:v>
      </x:c>
    </x:row>
    <x:row r="256">
      <x:c r="A256" t="str">
        <x:v>SN_507665</x:v>
      </x:c>
      <x:c r="B256" t="str">
        <x:v>507665</x:v>
      </x:c>
      <x:c r="C256" t="str">
        <x:v>B.Braun</x:v>
      </x:c>
      <x:c r="D256" t="str">
        <x:v>Infusomat Space</x:v>
      </x:c>
      <x:c r="E256" t="str">
        <x:v>Infusomat Space</x:v>
      </x:c>
      <x:c r="F256" t="str">
        <x:v>BBRAUN_INFUSOMAT</x:v>
      </x:c>
      <x:c r="G256" t="str">
        <x:v>Warehouse</x:v>
      </x:c>
      <x:c r="H256" t="str">
        <x:v>รอสอบเทียบ</x:v>
      </x:c>
      <x:c r="I256" t="str">
        <x:v>รอสอบเทียบ</x:v>
      </x:c>
      <x:c r="J256" t="str">
        <x:v>ไม่มีสัญญา</x:v>
      </x:c>
      <x:c r="K256" t="str">
        <x:v>รอสอบเทียบก่อนพร้อมส่ง</x:v>
      </x:c>
      <x:c r="L256" t="str">
        <x:v>ไม่ได้เช่ายืม = รอสอบเทียบ</x:v>
      </x:c>
      <x:c r="M256" t="str">
        <x:f>IF(OR(H256="ใช้งานไม่ได้",H256="BROKEN",H256="Broken"),"ใช้งานไม่ได้",IF(OR(H256="ไม่พบในรายการ",H256="MISSING",H256="Missing"),"ไม่พบในรายการ",IF(OR(J256="เช่ายืม",J256="IN_USE",J256="IN-USE",H256="เช่ายืม"),"เช่ายืม",IF(H256="พร้อมส่ง","พร้อมส่ง","รอสอบเทียบ"))))</x:f>
        <x:v>รอสอบเทียบ</x:v>
      </x:c>
    </x:row>
    <x:row r="257">
      <x:c r="A257" t="str">
        <x:v>52896</x:v>
      </x:c>
      <x:c r="B257" t="str">
        <x:v>52896</x:v>
      </x:c>
      <x:c r="C257" t="str">
        <x:v>B.Braun</x:v>
      </x:c>
      <x:c r="D257" t="str">
        <x:v>Infusomat Space</x:v>
      </x:c>
      <x:c r="E257" t="str">
        <x:v>Infusomat Space</x:v>
      </x:c>
      <x:c r="F257" t="str">
        <x:v>BBRAUN_INFUSOMAT</x:v>
      </x:c>
      <x:c r="G257" t="str">
        <x:v>BCM</x:v>
      </x:c>
      <x:c r="H257" t="str">
        <x:v>เช่ายืม</x:v>
      </x:c>
      <x:c r="I257" t="str">
        <x:v>พร้อมส่ง</x:v>
      </x:c>
      <x:c r="J257" t="str">
        <x:v>เช่ายืม</x:v>
      </x:c>
      <x:c r="K257" t="str">
        <x:v>อยู่ระหว่างเช่ายืม / เกินกำหนดคืน 39 วัน</x:v>
      </x:c>
      <x:c r="L257"/>
      <x:c r="M257" t="str">
        <x:f>IF(OR(H257="ใช้งานไม่ได้",H257="BROKEN",H257="Broken"),"ใช้งานไม่ได้",IF(OR(H257="ไม่พบในรายการ",H257="MISSING",H257="Missing"),"ไม่พบในรายการ",IF(OR(J257="เช่ายืม",J257="IN_USE",J257="IN-USE",H257="เช่ายืม"),"เช่ายืม",IF(H257="พร้อมส่ง","พร้อมส่ง","รอสอบเทียบ"))))</x:f>
        <x:v>เช่ายืม</x:v>
      </x:c>
    </x:row>
    <x:row r="258">
      <x:c r="A258" t="str">
        <x:v>52969</x:v>
      </x:c>
      <x:c r="B258" t="str">
        <x:v>52969</x:v>
      </x:c>
      <x:c r="C258" t="str">
        <x:v>B.Braun</x:v>
      </x:c>
      <x:c r="D258" t="str">
        <x:v>Infusomat Space</x:v>
      </x:c>
      <x:c r="E258" t="str">
        <x:v>Infusomat Space</x:v>
      </x:c>
      <x:c r="F258" t="str">
        <x:v>BBRAUN_INFUSOMAT</x:v>
      </x:c>
      <x:c r="G258" t="str">
        <x:v>BCM</x:v>
      </x:c>
      <x:c r="H258" t="str">
        <x:v>เช่ายืม</x:v>
      </x:c>
      <x:c r="I258" t="str">
        <x:v>พร้อมส่ง</x:v>
      </x:c>
      <x:c r="J258" t="str">
        <x:v>เช่ายืม</x:v>
      </x:c>
      <x:c r="K258" t="str">
        <x:v>อยู่ระหว่างเช่ายืม / เกินกำหนดคืน 39 วัน</x:v>
      </x:c>
      <x:c r="L258"/>
      <x:c r="M258" t="str">
        <x:f>IF(OR(H258="ใช้งานไม่ได้",H258="BROKEN",H258="Broken"),"ใช้งานไม่ได้",IF(OR(H258="ไม่พบในรายการ",H258="MISSING",H258="Missing"),"ไม่พบในรายการ",IF(OR(J258="เช่ายืม",J258="IN_USE",J258="IN-USE",H258="เช่ายืม"),"เช่ายืม",IF(H258="พร้อมส่ง","พร้อมส่ง","รอสอบเทียบ"))))</x:f>
        <x:v>เช่ายืม</x:v>
      </x:c>
    </x:row>
    <x:row r="259">
      <x:c r="A259" t="str">
        <x:v>583992</x:v>
      </x:c>
      <x:c r="B259" t="str">
        <x:v>583992</x:v>
      </x:c>
      <x:c r="C259" t="str">
        <x:v>B.Braun</x:v>
      </x:c>
      <x:c r="D259" t="str">
        <x:v>Infusomat Space</x:v>
      </x:c>
      <x:c r="E259" t="str">
        <x:v>Infusomat Space</x:v>
      </x:c>
      <x:c r="F259" t="str">
        <x:v>BBRAUN_INFUSOMAT</x:v>
      </x:c>
      <x:c r="G259" t="str">
        <x:v>BHP</x:v>
      </x:c>
      <x:c r="H259" t="str">
        <x:v>เช่ายืม</x:v>
      </x:c>
      <x:c r="I259" t="str">
        <x:v>พร้อมส่ง</x:v>
      </x:c>
      <x:c r="J259" t="str">
        <x:v>เช่ายืม</x:v>
      </x:c>
      <x:c r="K259" t="str">
        <x:v>อยู่ระหว่างเช่ายืม / เกินกำหนดคืน 60 วัน</x:v>
      </x:c>
      <x:c r="L259"/>
      <x:c r="M259" t="str">
        <x:f>IF(OR(H259="ใช้งานไม่ได้",H259="BROKEN",H259="Broken"),"ใช้งานไม่ได้",IF(OR(H259="ไม่พบในรายการ",H259="MISSING",H259="Missing"),"ไม่พบในรายการ",IF(OR(J259="เช่ายืม",J259="IN_USE",J259="IN-USE",H259="เช่ายืม"),"เช่ายืม",IF(H259="พร้อมส่ง","พร้อมส่ง","รอสอบเทียบ"))))</x:f>
        <x:v>เช่ายืม</x:v>
      </x:c>
    </x:row>
    <x:row r="260">
      <x:c r="A260" t="str">
        <x:v>584010</x:v>
      </x:c>
      <x:c r="B260" t="str">
        <x:v>584010</x:v>
      </x:c>
      <x:c r="C260" t="str">
        <x:v>B.Braun</x:v>
      </x:c>
      <x:c r="D260" t="str">
        <x:v>Infusomat Space</x:v>
      </x:c>
      <x:c r="E260" t="str">
        <x:v>Infusomat Space</x:v>
      </x:c>
      <x:c r="F260" t="str">
        <x:v>BBRAUN_INFUSOMAT</x:v>
      </x:c>
      <x:c r="G260" t="str">
        <x:v>BHP</x:v>
      </x:c>
      <x:c r="H260" t="str">
        <x:v>เช่ายืม</x:v>
      </x:c>
      <x:c r="I260" t="str">
        <x:v>พร้อมส่ง</x:v>
      </x:c>
      <x:c r="J260" t="str">
        <x:v>เช่ายืม</x:v>
      </x:c>
      <x:c r="K260" t="str">
        <x:v>อยู่ระหว่างเช่ายืม / เกินกำหนดคืน 60 วัน</x:v>
      </x:c>
      <x:c r="L260"/>
      <x:c r="M260" t="str">
        <x:f>IF(OR(H260="ใช้งานไม่ได้",H260="BROKEN",H260="Broken"),"ใช้งานไม่ได้",IF(OR(H260="ไม่พบในรายการ",H260="MISSING",H260="Missing"),"ไม่พบในรายการ",IF(OR(J260="เช่ายืม",J260="IN_USE",J260="IN-USE",H260="เช่ายืม"),"เช่ายืม",IF(H260="พร้อมส่ง","พร้อมส่ง","รอสอบเทียบ"))))</x:f>
        <x:v>เช่ายืม</x:v>
      </x:c>
    </x:row>
    <x:row r="261">
      <x:c r="A261" t="str">
        <x:v>584030</x:v>
      </x:c>
      <x:c r="B261" t="str">
        <x:v>584030</x:v>
      </x:c>
      <x:c r="C261" t="str">
        <x:v>B.Braun</x:v>
      </x:c>
      <x:c r="D261" t="str">
        <x:v>Infusomat Space</x:v>
      </x:c>
      <x:c r="E261" t="str">
        <x:v>Infusomat Space</x:v>
      </x:c>
      <x:c r="F261" t="str">
        <x:v>BBRAUN_INFUSOMAT</x:v>
      </x:c>
      <x:c r="G261" t="str">
        <x:v>BHP</x:v>
      </x:c>
      <x:c r="H261" t="str">
        <x:v>เช่ายืม</x:v>
      </x:c>
      <x:c r="I261" t="str">
        <x:v>พร้อมส่ง</x:v>
      </x:c>
      <x:c r="J261" t="str">
        <x:v>เช่ายืม</x:v>
      </x:c>
      <x:c r="K261" t="str">
        <x:v>อยู่ระหว่างเช่ายืม / เกินกำหนดคืน 60 วัน</x:v>
      </x:c>
      <x:c r="L261"/>
      <x:c r="M261" t="str">
        <x:f>IF(OR(H261="ใช้งานไม่ได้",H261="BROKEN",H261="Broken"),"ใช้งานไม่ได้",IF(OR(H261="ไม่พบในรายการ",H261="MISSING",H261="Missing"),"ไม่พบในรายการ",IF(OR(J261="เช่ายืม",J261="IN_USE",J261="IN-USE",H261="เช่ายืม"),"เช่ายืม",IF(H261="พร้อมส่ง","พร้อมส่ง","รอสอบเทียบ"))))</x:f>
        <x:v>เช่ายืม</x:v>
      </x:c>
    </x:row>
    <x:row r="262">
      <x:c r="A262" t="str">
        <x:v>584034</x:v>
      </x:c>
      <x:c r="B262" t="str">
        <x:v>584034</x:v>
      </x:c>
      <x:c r="C262" t="str">
        <x:v>B.Braun</x:v>
      </x:c>
      <x:c r="D262" t="str">
        <x:v>Infusomat Space</x:v>
      </x:c>
      <x:c r="E262" t="str">
        <x:v>Infusomat Space</x:v>
      </x:c>
      <x:c r="F262" t="str">
        <x:v>BBRAUN_INFUSOMAT</x:v>
      </x:c>
      <x:c r="G262" t="str">
        <x:v>BHP</x:v>
      </x:c>
      <x:c r="H262" t="str">
        <x:v>เช่ายืม</x:v>
      </x:c>
      <x:c r="I262" t="str">
        <x:v>พร้อมส่ง</x:v>
      </x:c>
      <x:c r="J262" t="str">
        <x:v>เช่ายืม</x:v>
      </x:c>
      <x:c r="K262" t="str">
        <x:v>อยู่ระหว่างเช่ายืม / เกินกำหนดคืน 60 วัน</x:v>
      </x:c>
      <x:c r="L262"/>
      <x:c r="M262" t="str">
        <x:f>IF(OR(H262="ใช้งานไม่ได้",H262="BROKEN",H262="Broken"),"ใช้งานไม่ได้",IF(OR(H262="ไม่พบในรายการ",H262="MISSING",H262="Missing"),"ไม่พบในรายการ",IF(OR(J262="เช่ายืม",J262="IN_USE",J262="IN-USE",H262="เช่ายืม"),"เช่ายืม",IF(H262="พร้อมส่ง","พร้อมส่ง","รอสอบเทียบ"))))</x:f>
        <x:v>เช่ายืม</x:v>
      </x:c>
    </x:row>
    <x:row r="263">
      <x:c r="A263" t="str">
        <x:v>584043</x:v>
      </x:c>
      <x:c r="B263" t="str">
        <x:v>584043</x:v>
      </x:c>
      <x:c r="C263" t="str">
        <x:v>B.Braun</x:v>
      </x:c>
      <x:c r="D263" t="str">
        <x:v>Infusomat Space</x:v>
      </x:c>
      <x:c r="E263" t="str">
        <x:v>Infusomat Space</x:v>
      </x:c>
      <x:c r="F263" t="str">
        <x:v>BBRAUN_INFUSOMAT</x:v>
      </x:c>
      <x:c r="G263" t="str">
        <x:v>Warehouse</x:v>
      </x:c>
      <x:c r="H263" t="str">
        <x:v>รอสอบเทียบ</x:v>
      </x:c>
      <x:c r="I263" t="str">
        <x:v>รอสอบเทียบ</x:v>
      </x:c>
      <x:c r="J263" t="str">
        <x:v>ไม่มีสัญญา</x:v>
      </x:c>
      <x:c r="K263" t="str">
        <x:v>รอสอบเทียบก่อนพร้อมส่ง</x:v>
      </x:c>
      <x:c r="L263" t="str">
        <x:v>ไม่ได้เช่ายืม = รอสอบเทียบ</x:v>
      </x:c>
      <x:c r="M263" t="str">
        <x:f>IF(OR(H263="ใช้งานไม่ได้",H263="BROKEN",H263="Broken"),"ใช้งานไม่ได้",IF(OR(H263="ไม่พบในรายการ",H263="MISSING",H263="Missing"),"ไม่พบในรายการ",IF(OR(J263="เช่ายืม",J263="IN_USE",J263="IN-USE",H263="เช่ายืม"),"เช่ายืม",IF(H263="พร้อมส่ง","พร้อมส่ง","รอสอบเทียบ"))))</x:f>
        <x:v>รอสอบเทียบ</x:v>
      </x:c>
    </x:row>
    <x:row r="264">
      <x:c r="A264" t="str">
        <x:v>584387</x:v>
      </x:c>
      <x:c r="B264" t="str">
        <x:v>584387</x:v>
      </x:c>
      <x:c r="C264" t="str">
        <x:v>B.Braun</x:v>
      </x:c>
      <x:c r="D264" t="str">
        <x:v>Infusomat Space</x:v>
      </x:c>
      <x:c r="E264" t="str">
        <x:v>Infusomat Space</x:v>
      </x:c>
      <x:c r="F264" t="str">
        <x:v>BBRAUN_INFUSOMAT</x:v>
      </x:c>
      <x:c r="G264" t="str">
        <x:v>BHP</x:v>
      </x:c>
      <x:c r="H264" t="str">
        <x:v>เช่ายืม</x:v>
      </x:c>
      <x:c r="I264" t="str">
        <x:v>พร้อมส่ง</x:v>
      </x:c>
      <x:c r="J264" t="str">
        <x:v>เช่ายืม</x:v>
      </x:c>
      <x:c r="K264" t="str">
        <x:v>อยู่ระหว่างเช่ายืม / เกินกำหนดคืน 60 วัน</x:v>
      </x:c>
      <x:c r="L264"/>
      <x:c r="M264" t="str">
        <x:f>IF(OR(H264="ใช้งานไม่ได้",H264="BROKEN",H264="Broken"),"ใช้งานไม่ได้",IF(OR(H264="ไม่พบในรายการ",H264="MISSING",H264="Missing"),"ไม่พบในรายการ",IF(OR(J264="เช่ายืม",J264="IN_USE",J264="IN-USE",H264="เช่ายืม"),"เช่ายืม",IF(H264="พร้อมส่ง","พร้อมส่ง","รอสอบเทียบ"))))</x:f>
        <x:v>เช่ายืม</x:v>
      </x:c>
    </x:row>
    <x:row r="265">
      <x:c r="A265" t="str">
        <x:v>584388</x:v>
      </x:c>
      <x:c r="B265" t="str">
        <x:v>584388</x:v>
      </x:c>
      <x:c r="C265" t="str">
        <x:v>B.Braun</x:v>
      </x:c>
      <x:c r="D265" t="str">
        <x:v>Infusomat Space</x:v>
      </x:c>
      <x:c r="E265" t="str">
        <x:v>Infusomat Space</x:v>
      </x:c>
      <x:c r="F265" t="str">
        <x:v>BBRAUN_INFUSOMAT</x:v>
      </x:c>
      <x:c r="G265" t="str">
        <x:v>Warehouse</x:v>
      </x:c>
      <x:c r="H265" t="str">
        <x:v>รอสอบเทียบ</x:v>
      </x:c>
      <x:c r="I265" t="str">
        <x:v>รอสอบเทียบ</x:v>
      </x:c>
      <x:c r="J265" t="str">
        <x:v>ไม่มีสัญญา</x:v>
      </x:c>
      <x:c r="K265" t="str">
        <x:v>รอสอบเทียบก่อนพร้อมส่ง</x:v>
      </x:c>
      <x:c r="L265" t="str">
        <x:v>ไม่ได้เช่ายืม = รอสอบเทียบ</x:v>
      </x:c>
      <x:c r="M265" t="str">
        <x:f>IF(OR(H265="ใช้งานไม่ได้",H265="BROKEN",H265="Broken"),"ใช้งานไม่ได้",IF(OR(H265="ไม่พบในรายการ",H265="MISSING",H265="Missing"),"ไม่พบในรายการ",IF(OR(J265="เช่ายืม",J265="IN_USE",J265="IN-USE",H265="เช่ายืม"),"เช่ายืม",IF(H265="พร้อมส่ง","พร้อมส่ง","รอสอบเทียบ"))))</x:f>
        <x:v>รอสอบเทียบ</x:v>
      </x:c>
    </x:row>
    <x:row r="266">
      <x:c r="A266" t="str">
        <x:v>584394</x:v>
      </x:c>
      <x:c r="B266" t="str">
        <x:v>584394</x:v>
      </x:c>
      <x:c r="C266" t="str">
        <x:v>B.Braun</x:v>
      </x:c>
      <x:c r="D266" t="str">
        <x:v>Infusomat Space</x:v>
      </x:c>
      <x:c r="E266" t="str">
        <x:v>Infusomat Space</x:v>
      </x:c>
      <x:c r="F266" t="str">
        <x:v>BBRAUN_INFUSOMAT</x:v>
      </x:c>
      <x:c r="G266" t="str">
        <x:v>BHP</x:v>
      </x:c>
      <x:c r="H266" t="str">
        <x:v>เช่ายืม</x:v>
      </x:c>
      <x:c r="I266" t="str">
        <x:v>พร้อมส่ง</x:v>
      </x:c>
      <x:c r="J266" t="str">
        <x:v>เช่ายืม</x:v>
      </x:c>
      <x:c r="K266" t="str">
        <x:v>อยู่ระหว่างเช่ายืม / เกินกำหนดคืน 60 วัน</x:v>
      </x:c>
      <x:c r="L266"/>
      <x:c r="M266" t="str">
        <x:f>IF(OR(H266="ใช้งานไม่ได้",H266="BROKEN",H266="Broken"),"ใช้งานไม่ได้",IF(OR(H266="ไม่พบในรายการ",H266="MISSING",H266="Missing"),"ไม่พบในรายการ",IF(OR(J266="เช่ายืม",J266="IN_USE",J266="IN-USE",H266="เช่ายืม"),"เช่ายืม",IF(H266="พร้อมส่ง","พร้อมส่ง","รอสอบเทียบ"))))</x:f>
        <x:v>เช่ายืม</x:v>
      </x:c>
    </x:row>
    <x:row r="267">
      <x:c r="A267" t="str">
        <x:v>584395</x:v>
      </x:c>
      <x:c r="B267" t="str">
        <x:v>584395</x:v>
      </x:c>
      <x:c r="C267" t="str">
        <x:v>B.Braun</x:v>
      </x:c>
      <x:c r="D267" t="str">
        <x:v>Infusomat Space</x:v>
      </x:c>
      <x:c r="E267" t="str">
        <x:v>Infusomat Space</x:v>
      </x:c>
      <x:c r="F267" t="str">
        <x:v>BBRAUN_INFUSOMAT</x:v>
      </x:c>
      <x:c r="G267" t="str">
        <x:v>BHP</x:v>
      </x:c>
      <x:c r="H267" t="str">
        <x:v>เช่ายืม</x:v>
      </x:c>
      <x:c r="I267" t="str">
        <x:v>พร้อมส่ง</x:v>
      </x:c>
      <x:c r="J267" t="str">
        <x:v>เช่ายืม</x:v>
      </x:c>
      <x:c r="K267" t="str">
        <x:v>อยู่ระหว่างเช่ายืม / เกินกำหนดคืน 60 วัน</x:v>
      </x:c>
      <x:c r="L267"/>
      <x:c r="M267" t="str">
        <x:f>IF(OR(H267="ใช้งานไม่ได้",H267="BROKEN",H267="Broken"),"ใช้งานไม่ได้",IF(OR(H267="ไม่พบในรายการ",H267="MISSING",H267="Missing"),"ไม่พบในรายการ",IF(OR(J267="เช่ายืม",J267="IN_USE",J267="IN-USE",H267="เช่ายืม"),"เช่ายืม",IF(H267="พร้อมส่ง","พร้อมส่ง","รอสอบเทียบ"))))</x:f>
        <x:v>เช่ายืม</x:v>
      </x:c>
    </x:row>
    <x:row r="268">
      <x:c r="A268" t="str">
        <x:v>584411</x:v>
      </x:c>
      <x:c r="B268" t="str">
        <x:v>584411</x:v>
      </x:c>
      <x:c r="C268" t="str">
        <x:v>B.Braun</x:v>
      </x:c>
      <x:c r="D268" t="str">
        <x:v>Infusomat Space</x:v>
      </x:c>
      <x:c r="E268" t="str">
        <x:v>Infusomat Space</x:v>
      </x:c>
      <x:c r="F268" t="str">
        <x:v>BBRAUN_INFUSOMAT</x:v>
      </x:c>
      <x:c r="G268" t="str">
        <x:v>Warehouse</x:v>
      </x:c>
      <x:c r="H268" t="str">
        <x:v>รอสอบเทียบ</x:v>
      </x:c>
      <x:c r="I268" t="str">
        <x:v>รอสอบเทียบ</x:v>
      </x:c>
      <x:c r="J268" t="str">
        <x:v>ไม่มีสัญญา</x:v>
      </x:c>
      <x:c r="K268" t="str">
        <x:v>รอสอบเทียบก่อนพร้อมส่ง</x:v>
      </x:c>
      <x:c r="L268" t="str">
        <x:v>ไม่ได้เช่ายืม = รอสอบเทียบ</x:v>
      </x:c>
      <x:c r="M268" t="str">
        <x:f>IF(OR(H268="ใช้งานไม่ได้",H268="BROKEN",H268="Broken"),"ใช้งานไม่ได้",IF(OR(H268="ไม่พบในรายการ",H268="MISSING",H268="Missing"),"ไม่พบในรายการ",IF(OR(J268="เช่ายืม",J268="IN_USE",J268="IN-USE",H268="เช่ายืม"),"เช่ายืม",IF(H268="พร้อมส่ง","พร้อมส่ง","รอสอบเทียบ"))))</x:f>
        <x:v>รอสอบเทียบ</x:v>
      </x:c>
    </x:row>
    <x:row r="269">
      <x:c r="A269" t="str">
        <x:v>584413</x:v>
      </x:c>
      <x:c r="B269" t="str">
        <x:v>584413</x:v>
      </x:c>
      <x:c r="C269" t="str">
        <x:v>B.Braun</x:v>
      </x:c>
      <x:c r="D269" t="str">
        <x:v>Infusomat Space</x:v>
      </x:c>
      <x:c r="E269" t="str">
        <x:v>Infusomat Space</x:v>
      </x:c>
      <x:c r="F269" t="str">
        <x:v>BBRAUN_INFUSOMAT</x:v>
      </x:c>
      <x:c r="G269" t="str">
        <x:v>BHP</x:v>
      </x:c>
      <x:c r="H269" t="str">
        <x:v>เช่ายืม</x:v>
      </x:c>
      <x:c r="I269" t="str">
        <x:v>พร้อมส่ง</x:v>
      </x:c>
      <x:c r="J269" t="str">
        <x:v>เช่ายืม</x:v>
      </x:c>
      <x:c r="K269" t="str">
        <x:v>อยู่ระหว่างเช่ายืม / เกินกำหนดคืน 60 วัน</x:v>
      </x:c>
      <x:c r="L269"/>
      <x:c r="M269" t="str">
        <x:f>IF(OR(H269="ใช้งานไม่ได้",H269="BROKEN",H269="Broken"),"ใช้งานไม่ได้",IF(OR(H269="ไม่พบในรายการ",H269="MISSING",H269="Missing"),"ไม่พบในรายการ",IF(OR(J269="เช่ายืม",J269="IN_USE",J269="IN-USE",H269="เช่ายืม"),"เช่ายืม",IF(H269="พร้อมส่ง","พร้อมส่ง","รอสอบเทียบ"))))</x:f>
        <x:v>เช่ายืม</x:v>
      </x:c>
    </x:row>
    <x:row r="270">
      <x:c r="A270" t="str">
        <x:v>584419</x:v>
      </x:c>
      <x:c r="B270" t="str">
        <x:v>584419</x:v>
      </x:c>
      <x:c r="C270" t="str">
        <x:v>B.Braun</x:v>
      </x:c>
      <x:c r="D270" t="str">
        <x:v>Infusomat Space</x:v>
      </x:c>
      <x:c r="E270" t="str">
        <x:v>Infusomat Space</x:v>
      </x:c>
      <x:c r="F270" t="str">
        <x:v>BBRAUN_INFUSOMAT</x:v>
      </x:c>
      <x:c r="G270" t="str">
        <x:v>BHP</x:v>
      </x:c>
      <x:c r="H270" t="str">
        <x:v>เช่ายืม</x:v>
      </x:c>
      <x:c r="I270" t="str">
        <x:v>พร้อมส่ง</x:v>
      </x:c>
      <x:c r="J270" t="str">
        <x:v>เช่ายืม</x:v>
      </x:c>
      <x:c r="K270" t="str">
        <x:v>อยู่ระหว่างเช่ายืม / เกินกำหนดคืน 60 วัน</x:v>
      </x:c>
      <x:c r="L270"/>
      <x:c r="M270" t="str">
        <x:f>IF(OR(H270="ใช้งานไม่ได้",H270="BROKEN",H270="Broken"),"ใช้งานไม่ได้",IF(OR(H270="ไม่พบในรายการ",H270="MISSING",H270="Missing"),"ไม่พบในรายการ",IF(OR(J270="เช่ายืม",J270="IN_USE",J270="IN-USE",H270="เช่ายืม"),"เช่ายืม",IF(H270="พร้อมส่ง","พร้อมส่ง","รอสอบเทียบ"))))</x:f>
        <x:v>เช่ายืม</x:v>
      </x:c>
    </x:row>
    <x:row r="271">
      <x:c r="A271" t="str">
        <x:v>584437</x:v>
      </x:c>
      <x:c r="B271" t="str">
        <x:v>584437</x:v>
      </x:c>
      <x:c r="C271" t="str">
        <x:v>B.Braun</x:v>
      </x:c>
      <x:c r="D271" t="str">
        <x:v>Infusomat Space</x:v>
      </x:c>
      <x:c r="E271" t="str">
        <x:v>Infusomat Space</x:v>
      </x:c>
      <x:c r="F271" t="str">
        <x:v>BBRAUN_INFUSOMAT</x:v>
      </x:c>
      <x:c r="G271" t="str">
        <x:v>Warehouse</x:v>
      </x:c>
      <x:c r="H271" t="str">
        <x:v>รอสอบเทียบ</x:v>
      </x:c>
      <x:c r="I271" t="str">
        <x:v>รอสอบเทียบ</x:v>
      </x:c>
      <x:c r="J271" t="str">
        <x:v>ไม่มีสัญญา</x:v>
      </x:c>
      <x:c r="K271" t="str">
        <x:v>รอสอบเทียบก่อนพร้อมส่ง</x:v>
      </x:c>
      <x:c r="L271" t="str">
        <x:v>ไม่ได้เช่ายืม = รอสอบเทียบ</x:v>
      </x:c>
      <x:c r="M271" t="str">
        <x:f>IF(OR(H271="ใช้งานไม่ได้",H271="BROKEN",H271="Broken"),"ใช้งานไม่ได้",IF(OR(H271="ไม่พบในรายการ",H271="MISSING",H271="Missing"),"ไม่พบในรายการ",IF(OR(J271="เช่ายืม",J271="IN_USE",J271="IN-USE",H271="เช่ายืม"),"เช่ายืม",IF(H271="พร้อมส่ง","พร้อมส่ง","รอสอบเทียบ"))))</x:f>
        <x:v>รอสอบเทียบ</x:v>
      </x:c>
    </x:row>
    <x:row r="272">
      <x:c r="A272" t="str">
        <x:v>584445</x:v>
      </x:c>
      <x:c r="B272" t="str">
        <x:v>584445</x:v>
      </x:c>
      <x:c r="C272" t="str">
        <x:v>B.Braun</x:v>
      </x:c>
      <x:c r="D272" t="str">
        <x:v>Infusomat Space</x:v>
      </x:c>
      <x:c r="E272" t="str">
        <x:v>Infusomat Space</x:v>
      </x:c>
      <x:c r="F272" t="str">
        <x:v>BBRAUN_INFUSOMAT</x:v>
      </x:c>
      <x:c r="G272" t="str">
        <x:v>BHP</x:v>
      </x:c>
      <x:c r="H272" t="str">
        <x:v>เช่ายืม</x:v>
      </x:c>
      <x:c r="I272" t="str">
        <x:v>พร้อมส่ง</x:v>
      </x:c>
      <x:c r="J272" t="str">
        <x:v>เช่ายืม</x:v>
      </x:c>
      <x:c r="K272" t="str">
        <x:v>อยู่ระหว่างเช่ายืม / เกินกำหนดคืน 60 วัน</x:v>
      </x:c>
      <x:c r="L272"/>
      <x:c r="M272" t="str">
        <x:f>IF(OR(H272="ใช้งานไม่ได้",H272="BROKEN",H272="Broken"),"ใช้งานไม่ได้",IF(OR(H272="ไม่พบในรายการ",H272="MISSING",H272="Missing"),"ไม่พบในรายการ",IF(OR(J272="เช่ายืม",J272="IN_USE",J272="IN-USE",H272="เช่ายืม"),"เช่ายืม",IF(H272="พร้อมส่ง","พร้อมส่ง","รอสอบเทียบ"))))</x:f>
        <x:v>เช่ายืม</x:v>
      </x:c>
    </x:row>
    <x:row r="273">
      <x:c r="A273" t="str">
        <x:v>586449</x:v>
      </x:c>
      <x:c r="B273" t="str">
        <x:v>586449</x:v>
      </x:c>
      <x:c r="C273" t="str">
        <x:v>B.Braun</x:v>
      </x:c>
      <x:c r="D273" t="str">
        <x:v>Infusomat Space</x:v>
      </x:c>
      <x:c r="E273" t="str">
        <x:v>Infusomat Space</x:v>
      </x:c>
      <x:c r="F273" t="str">
        <x:v>BBRAUN_INFUSOMAT</x:v>
      </x:c>
      <x:c r="G273" t="str">
        <x:v>Warehouse</x:v>
      </x:c>
      <x:c r="H273" t="str">
        <x:v>รอสอบเทียบ</x:v>
      </x:c>
      <x:c r="I273" t="str">
        <x:v>รอสอบเทียบ</x:v>
      </x:c>
      <x:c r="J273" t="str">
        <x:v>ไม่มีสัญญา</x:v>
      </x:c>
      <x:c r="K273" t="str">
        <x:v>รอสอบเทียบก่อนพร้อมส่ง</x:v>
      </x:c>
      <x:c r="L273" t="str">
        <x:v>ไม่ได้เช่ายืม = รอสอบเทียบ</x:v>
      </x:c>
      <x:c r="M273" t="str">
        <x:f>IF(OR(H273="ใช้งานไม่ได้",H273="BROKEN",H273="Broken"),"ใช้งานไม่ได้",IF(OR(H273="ไม่พบในรายการ",H273="MISSING",H273="Missing"),"ไม่พบในรายการ",IF(OR(J273="เช่ายืม",J273="IN_USE",J273="IN-USE",H273="เช่ายืม"),"เช่ายืม",IF(H273="พร้อมส่ง","พร้อมส่ง","รอสอบเทียบ"))))</x:f>
        <x:v>รอสอบเทียบ</x:v>
      </x:c>
    </x:row>
    <x:row r="274">
      <x:c r="A274" t="str">
        <x:v>591373</x:v>
      </x:c>
      <x:c r="B274" t="str">
        <x:v>591373</x:v>
      </x:c>
      <x:c r="C274" t="str">
        <x:v>B.Braun</x:v>
      </x:c>
      <x:c r="D274" t="str">
        <x:v>Infusomat Space</x:v>
      </x:c>
      <x:c r="E274" t="str">
        <x:v>Infusomat Space</x:v>
      </x:c>
      <x:c r="F274" t="str">
        <x:v>BBRAUN_INFUSOMAT</x:v>
      </x:c>
      <x:c r="G274" t="str">
        <x:v>BME-BKN</x:v>
      </x:c>
      <x:c r="H274" t="str">
        <x:v>เช่ายืม</x:v>
      </x:c>
      <x:c r="I274" t="str">
        <x:v>พร้อมส่ง</x:v>
      </x:c>
      <x:c r="J274" t="str">
        <x:v>เช่ายืม</x:v>
      </x:c>
      <x:c r="K274" t="str">
        <x:v>อยู่ระหว่างเช่ายืม / เกินกำหนดคืน 60 วัน</x:v>
      </x:c>
      <x:c r="L274"/>
      <x:c r="M274" t="str">
        <x:f>IF(OR(H274="ใช้งานไม่ได้",H274="BROKEN",H274="Broken"),"ใช้งานไม่ได้",IF(OR(H274="ไม่พบในรายการ",H274="MISSING",H274="Missing"),"ไม่พบในรายการ",IF(OR(J274="เช่ายืม",J274="IN_USE",J274="IN-USE",H274="เช่ายืม"),"เช่ายืม",IF(H274="พร้อมส่ง","พร้อมส่ง","รอสอบเทียบ"))))</x:f>
        <x:v>เช่ายืม</x:v>
      </x:c>
    </x:row>
    <x:row r="275">
      <x:c r="A275" t="str">
        <x:v>614099</x:v>
      </x:c>
      <x:c r="B275" t="str">
        <x:v>614099</x:v>
      </x:c>
      <x:c r="C275" t="str">
        <x:v>B.Braun</x:v>
      </x:c>
      <x:c r="D275" t="str">
        <x:v>Infusomat Space</x:v>
      </x:c>
      <x:c r="E275" t="str">
        <x:v>Infusomat Space</x:v>
      </x:c>
      <x:c r="F275" t="str">
        <x:v>BBRAUN_INFUSOMAT</x:v>
      </x:c>
      <x:c r="G275" t="str">
        <x:v>DEMO ศบศ</x:v>
      </x:c>
      <x:c r="H275" t="str">
        <x:v>เช่ายืม</x:v>
      </x:c>
      <x:c r="I275" t="str">
        <x:v>พร้อมส่ง</x:v>
      </x:c>
      <x:c r="J275" t="str">
        <x:v>เช่ายืม</x:v>
      </x:c>
      <x:c r="K275" t="str">
        <x:v>อยู่ระหว่างเช่ายืม</x:v>
      </x:c>
      <x:c r="L275"/>
      <x:c r="M275" t="str">
        <x:f>IF(OR(H275="ใช้งานไม่ได้",H275="BROKEN",H275="Broken"),"ใช้งานไม่ได้",IF(OR(H275="ไม่พบในรายการ",H275="MISSING",H275="Missing"),"ไม่พบในรายการ",IF(OR(J275="เช่ายืม",J275="IN_USE",J275="IN-USE",H275="เช่ายืม"),"เช่ายืม",IF(H275="พร้อมส่ง","พร้อมส่ง","รอสอบเทียบ"))))</x:f>
        <x:v>เช่ายืม</x:v>
      </x:c>
    </x:row>
    <x:row r="276">
      <x:c r="A276" t="str">
        <x:v>93655</x:v>
      </x:c>
      <x:c r="B276" t="str">
        <x:v>93655</x:v>
      </x:c>
      <x:c r="C276" t="str">
        <x:v>B.Braun</x:v>
      </x:c>
      <x:c r="D276" t="str">
        <x:v>Infusomat Space</x:v>
      </x:c>
      <x:c r="E276" t="str">
        <x:v>Infusomat Space</x:v>
      </x:c>
      <x:c r="F276" t="str">
        <x:v>BBRAUN_INFUSOMAT</x:v>
      </x:c>
      <x:c r="G276" t="str">
        <x:v>Warehouse</x:v>
      </x:c>
      <x:c r="H276" t="str">
        <x:v>รอสอบเทียบ</x:v>
      </x:c>
      <x:c r="I276" t="str">
        <x:v>รอสอบเทียบ</x:v>
      </x:c>
      <x:c r="J276" t="str">
        <x:v>ไม่มีสัญญา</x:v>
      </x:c>
      <x:c r="K276" t="str">
        <x:v>รอสอบเทียบก่อนพร้อมส่ง</x:v>
      </x:c>
      <x:c r="L276" t="str">
        <x:v>ไม่ได้เช่ายืม = รอสอบเทียบ</x:v>
      </x:c>
      <x:c r="M276" t="str">
        <x:f>IF(OR(H276="ใช้งานไม่ได้",H276="BROKEN",H276="Broken"),"ใช้งานไม่ได้",IF(OR(H276="ไม่พบในรายการ",H276="MISSING",H276="Missing"),"ไม่พบในรายการ",IF(OR(J276="เช่ายืม",J276="IN_USE",J276="IN-USE",H276="เช่ายืม"),"เช่ายืม",IF(H276="พร้อมส่ง","พร้อมส่ง","รอสอบเทียบ"))))</x:f>
        <x:v>รอสอบเทียบ</x:v>
      </x:c>
    </x:row>
    <x:row r="277">
      <x:c r="A277" t="str">
        <x:v>93696</x:v>
      </x:c>
      <x:c r="B277" t="str">
        <x:v>93696</x:v>
      </x:c>
      <x:c r="C277" t="str">
        <x:v>B.Braun</x:v>
      </x:c>
      <x:c r="D277" t="str">
        <x:v>Infusomat Space</x:v>
      </x:c>
      <x:c r="E277" t="str">
        <x:v>Infusomat Space</x:v>
      </x:c>
      <x:c r="F277" t="str">
        <x:v>BBRAUN_INFUSOMAT</x:v>
      </x:c>
      <x:c r="G277" t="str">
        <x:v>Warehouse</x:v>
      </x:c>
      <x:c r="H277" t="str">
        <x:v>รอสอบเทียบ</x:v>
      </x:c>
      <x:c r="I277" t="str">
        <x:v>รอสอบเทียบ</x:v>
      </x:c>
      <x:c r="J277" t="str">
        <x:v>ไม่มีสัญญา</x:v>
      </x:c>
      <x:c r="K277" t="str">
        <x:v>รอสอบเทียบก่อนพร้อมส่ง</x:v>
      </x:c>
      <x:c r="L277" t="str">
        <x:v>ไม่ได้เช่ายืม = รอสอบเทียบ</x:v>
      </x:c>
      <x:c r="M277" t="str">
        <x:f>IF(OR(H277="ใช้งานไม่ได้",H277="BROKEN",H277="Broken"),"ใช้งานไม่ได้",IF(OR(H277="ไม่พบในรายการ",H277="MISSING",H277="Missing"),"ไม่พบในรายการ",IF(OR(J277="เช่ายืม",J277="IN_USE",J277="IN-USE",H277="เช่ายืม"),"เช่ายืม",IF(H277="พร้อมส่ง","พร้อมส่ง","รอสอบเทียบ"))))</x:f>
        <x:v>รอสอบเทียบ</x:v>
      </x:c>
    </x:row>
    <x:row r="278">
      <x:c r="A278" t="str">
        <x:v>14527</x:v>
      </x:c>
      <x:c r="B278" t="str">
        <x:v>14527</x:v>
      </x:c>
      <x:c r="C278" t="str">
        <x:v>B.Braun</x:v>
      </x:c>
      <x:c r="D278" t="str">
        <x:v>Spaceplus</x:v>
      </x:c>
      <x:c r="E278" t="str">
        <x:v>Spaceplus</x:v>
      </x:c>
      <x:c r="F278" t="str">
        <x:v>BBRAUN_SPACEPLUS</x:v>
      </x:c>
      <x:c r="G278" t="str">
        <x:v>Warehouse</x:v>
      </x:c>
      <x:c r="H278" t="str">
        <x:v>รอสอบเทียบ</x:v>
      </x:c>
      <x:c r="I278" t="str">
        <x:v>รอสอบเทียบ</x:v>
      </x:c>
      <x:c r="J278" t="str">
        <x:v>ไม่มีสัญญา</x:v>
      </x:c>
      <x:c r="K278" t="str">
        <x:v>รอสอบเทียบก่อนพร้อมส่ง</x:v>
      </x:c>
      <x:c r="L278" t="str">
        <x:v>ไม่ได้เช่ายืม = รอสอบเทียบ</x:v>
      </x:c>
      <x:c r="M278" t="str">
        <x:f>IF(OR(H278="ใช้งานไม่ได้",H278="BROKEN",H278="Broken"),"ใช้งานไม่ได้",IF(OR(H278="ไม่พบในรายการ",H278="MISSING",H278="Missing"),"ไม่พบในรายการ",IF(OR(J278="เช่ายืม",J278="IN_USE",J278="IN-USE",H278="เช่ายืม"),"เช่ายืม",IF(H278="พร้อมส่ง","พร้อมส่ง","รอสอบเทียบ"))))</x:f>
        <x:v>รอสอบเทียบ</x:v>
      </x:c>
    </x:row>
    <x:row r="279">
      <x:c r="A279" t="str">
        <x:v>15036</x:v>
      </x:c>
      <x:c r="B279" t="str">
        <x:v>15036</x:v>
      </x:c>
      <x:c r="C279" t="str">
        <x:v>B.Braun</x:v>
      </x:c>
      <x:c r="D279" t="str">
        <x:v>Spaceplus</x:v>
      </x:c>
      <x:c r="E279" t="str">
        <x:v>Spaceplus</x:v>
      </x:c>
      <x:c r="F279" t="str">
        <x:v>BBRAUN_SPACEPLUS</x:v>
      </x:c>
      <x:c r="G279" t="str">
        <x:v>Warehouse</x:v>
      </x:c>
      <x:c r="H279" t="str">
        <x:v>รอสอบเทียบ</x:v>
      </x:c>
      <x:c r="I279" t="str">
        <x:v>รอสอบเทียบ</x:v>
      </x:c>
      <x:c r="J279" t="str">
        <x:v>ไม่มีสัญญา</x:v>
      </x:c>
      <x:c r="K279" t="str">
        <x:v>รอสอบเทียบก่อนพร้อมส่ง</x:v>
      </x:c>
      <x:c r="L279" t="str">
        <x:v>ไม่ได้เช่ายืม = รอสอบเทียบ</x:v>
      </x:c>
      <x:c r="M279" t="str">
        <x:f>IF(OR(H279="ใช้งานไม่ได้",H279="BROKEN",H279="Broken"),"ใช้งานไม่ได้",IF(OR(H279="ไม่พบในรายการ",H279="MISSING",H279="Missing"),"ไม่พบในรายการ",IF(OR(J279="เช่ายืม",J279="IN_USE",J279="IN-USE",H279="เช่ายืม"),"เช่ายืม",IF(H279="พร้อมส่ง","พร้อมส่ง","รอสอบเทียบ"))))</x:f>
        <x:v>รอสอบเทียบ</x:v>
      </x:c>
    </x:row>
    <x:row r="280">
      <x:c r="A280" t="str">
        <x:v>15157</x:v>
      </x:c>
      <x:c r="B280" t="str">
        <x:v>15157</x:v>
      </x:c>
      <x:c r="C280" t="str">
        <x:v>B.Braun</x:v>
      </x:c>
      <x:c r="D280" t="str">
        <x:v>Spaceplus</x:v>
      </x:c>
      <x:c r="E280" t="str">
        <x:v>Spaceplus</x:v>
      </x:c>
      <x:c r="F280" t="str">
        <x:v>BBRAUN_SPACEPLUS</x:v>
      </x:c>
      <x:c r="G280" t="str">
        <x:v>CES-BCM</x:v>
      </x:c>
      <x:c r="H280" t="str">
        <x:v>เช่ายืม</x:v>
      </x:c>
      <x:c r="I280" t="str">
        <x:v>พร้อมส่ง</x:v>
      </x:c>
      <x:c r="J280" t="str">
        <x:v>เช่ายืม</x:v>
      </x:c>
      <x:c r="K280" t="str">
        <x:v>อยู่ระหว่างเช่ายืม / เกินกำหนดคืน 88 วัน</x:v>
      </x:c>
      <x:c r="L280"/>
      <x:c r="M280" t="str">
        <x:f>IF(OR(H280="ใช้งานไม่ได้",H280="BROKEN",H280="Broken"),"ใช้งานไม่ได้",IF(OR(H280="ไม่พบในรายการ",H280="MISSING",H280="Missing"),"ไม่พบในรายการ",IF(OR(J280="เช่ายืม",J280="IN_USE",J280="IN-USE",H280="เช่ายืม"),"เช่ายืม",IF(H280="พร้อมส่ง","พร้อมส่ง","รอสอบเทียบ"))))</x:f>
        <x:v>เช่ายืม</x:v>
      </x:c>
    </x:row>
    <x:row r="281">
      <x:c r="A281" t="str">
        <x:v>30828</x:v>
      </x:c>
      <x:c r="B281" t="str">
        <x:v>30828</x:v>
      </x:c>
      <x:c r="C281" t="str">
        <x:v>B.Braun</x:v>
      </x:c>
      <x:c r="D281" t="str">
        <x:v>Spaceplus</x:v>
      </x:c>
      <x:c r="E281" t="str">
        <x:v>Spaceplus</x:v>
      </x:c>
      <x:c r="F281" t="str">
        <x:v>BBRAUN_SPACEPLUS</x:v>
      </x:c>
      <x:c r="G281" t="str">
        <x:v>โรงพยาบาลกรุงเทพ หัวหิน</x:v>
      </x:c>
      <x:c r="H281" t="str">
        <x:v>เช่ายืม</x:v>
      </x:c>
      <x:c r="I281" t="str">
        <x:v>พร้อมส่ง</x:v>
      </x:c>
      <x:c r="J281" t="str">
        <x:v>เช่ายืม</x:v>
      </x:c>
      <x:c r="K281" t="str">
        <x:v>อยู่ระหว่างเช่ายืม / เกินกำหนดคืน 73 วัน</x:v>
      </x:c>
      <x:c r="L281"/>
      <x:c r="M281" t="str">
        <x:f>IF(OR(H281="ใช้งานไม่ได้",H281="BROKEN",H281="Broken"),"ใช้งานไม่ได้",IF(OR(H281="ไม่พบในรายการ",H281="MISSING",H281="Missing"),"ไม่พบในรายการ",IF(OR(J281="เช่ายืม",J281="IN_USE",J281="IN-USE",H281="เช่ายืม"),"เช่ายืม",IF(H281="พร้อมส่ง","พร้อมส่ง","รอสอบเทียบ"))))</x:f>
        <x:v>เช่ายืม</x:v>
      </x:c>
    </x:row>
    <x:row r="282">
      <x:c r="A282" t="str">
        <x:v>30859</x:v>
      </x:c>
      <x:c r="B282" t="str">
        <x:v>30859</x:v>
      </x:c>
      <x:c r="C282" t="str">
        <x:v>B.Braun</x:v>
      </x:c>
      <x:c r="D282" t="str">
        <x:v>Spaceplus</x:v>
      </x:c>
      <x:c r="E282" t="str">
        <x:v>Spaceplus</x:v>
      </x:c>
      <x:c r="F282" t="str">
        <x:v>BBRAUN_SPACEPLUS</x:v>
      </x:c>
      <x:c r="G282" t="str">
        <x:v>โรงพยาบาลกรุงเทพ หัวหิน</x:v>
      </x:c>
      <x:c r="H282" t="str">
        <x:v>เช่ายืม</x:v>
      </x:c>
      <x:c r="I282" t="str">
        <x:v>พร้อมส่ง</x:v>
      </x:c>
      <x:c r="J282" t="str">
        <x:v>เช่ายืม</x:v>
      </x:c>
      <x:c r="K282" t="str">
        <x:v>อยู่ระหว่างเช่ายืม / เกินกำหนดคืน 73 วัน</x:v>
      </x:c>
      <x:c r="L282"/>
      <x:c r="M282" t="str">
        <x:f>IF(OR(H282="ใช้งานไม่ได้",H282="BROKEN",H282="Broken"),"ใช้งานไม่ได้",IF(OR(H282="ไม่พบในรายการ",H282="MISSING",H282="Missing"),"ไม่พบในรายการ",IF(OR(J282="เช่ายืม",J282="IN_USE",J282="IN-USE",H282="เช่ายืม"),"เช่ายืม",IF(H282="พร้อมส่ง","พร้อมส่ง","รอสอบเทียบ"))))</x:f>
        <x:v>เช่ายืม</x:v>
      </x:c>
    </x:row>
    <x:row r="283">
      <x:c r="A283" t="str">
        <x:v>30871</x:v>
      </x:c>
      <x:c r="B283" t="str">
        <x:v>30871</x:v>
      </x:c>
      <x:c r="C283" t="str">
        <x:v>B.Braun</x:v>
      </x:c>
      <x:c r="D283" t="str">
        <x:v>Spaceplus</x:v>
      </x:c>
      <x:c r="E283" t="str">
        <x:v>Spaceplus</x:v>
      </x:c>
      <x:c r="F283" t="str">
        <x:v>BBRAUN_SPACEPLUS</x:v>
      </x:c>
      <x:c r="G283" t="str">
        <x:v>โรงพยาบาลกรุงเทพ หัวหิน</x:v>
      </x:c>
      <x:c r="H283" t="str">
        <x:v>เช่ายืม</x:v>
      </x:c>
      <x:c r="I283" t="str">
        <x:v>พร้อมส่ง</x:v>
      </x:c>
      <x:c r="J283" t="str">
        <x:v>เช่ายืม</x:v>
      </x:c>
      <x:c r="K283" t="str">
        <x:v>อยู่ระหว่างเช่ายืม / เกินกำหนดคืน 73 วัน</x:v>
      </x:c>
      <x:c r="L283"/>
      <x:c r="M283" t="str">
        <x:f>IF(OR(H283="ใช้งานไม่ได้",H283="BROKEN",H283="Broken"),"ใช้งานไม่ได้",IF(OR(H283="ไม่พบในรายการ",H283="MISSING",H283="Missing"),"ไม่พบในรายการ",IF(OR(J283="เช่ายืม",J283="IN_USE",J283="IN-USE",H283="เช่ายืม"),"เช่ายืม",IF(H283="พร้อมส่ง","พร้อมส่ง","รอสอบเทียบ"))))</x:f>
        <x:v>เช่ายืม</x:v>
      </x:c>
    </x:row>
    <x:row r="284">
      <x:c r="A284" t="str">
        <x:v>31073</x:v>
      </x:c>
      <x:c r="B284" t="str">
        <x:v>31073</x:v>
      </x:c>
      <x:c r="C284" t="str">
        <x:v>B.Braun</x:v>
      </x:c>
      <x:c r="D284" t="str">
        <x:v>Spaceplus</x:v>
      </x:c>
      <x:c r="E284" t="str">
        <x:v>Spaceplus</x:v>
      </x:c>
      <x:c r="F284" t="str">
        <x:v>BBRAUN_SPACEPLUS</x:v>
      </x:c>
      <x:c r="G284" t="str">
        <x:v>STH</x:v>
      </x:c>
      <x:c r="H284" t="str">
        <x:v>เช่ายืม</x:v>
      </x:c>
      <x:c r="I284" t="str">
        <x:v>พร้อมส่ง</x:v>
      </x:c>
      <x:c r="J284" t="str">
        <x:v>เช่ายืม</x:v>
      </x:c>
      <x:c r="K284" t="str">
        <x:v>อยู่ระหว่างเช่ายืม / เกินกำหนดคืน 106 วัน</x:v>
      </x:c>
      <x:c r="L284"/>
      <x:c r="M284" t="str">
        <x:f>IF(OR(H284="ใช้งานไม่ได้",H284="BROKEN",H284="Broken"),"ใช้งานไม่ได้",IF(OR(H284="ไม่พบในรายการ",H284="MISSING",H284="Missing"),"ไม่พบในรายการ",IF(OR(J284="เช่ายืม",J284="IN_USE",J284="IN-USE",H284="เช่ายืม"),"เช่ายืม",IF(H284="พร้อมส่ง","พร้อมส่ง","รอสอบเทียบ"))))</x:f>
        <x:v>เช่ายืม</x:v>
      </x:c>
    </x:row>
    <x:row r="285">
      <x:c r="A285" t="str">
        <x:v>31108</x:v>
      </x:c>
      <x:c r="B285" t="str">
        <x:v>31108</x:v>
      </x:c>
      <x:c r="C285" t="str">
        <x:v>B.Braun</x:v>
      </x:c>
      <x:c r="D285" t="str">
        <x:v>Spaceplus</x:v>
      </x:c>
      <x:c r="E285" t="str">
        <x:v>Spaceplus</x:v>
      </x:c>
      <x:c r="F285" t="str">
        <x:v>BBRAUN_SPACEPLUS</x:v>
      </x:c>
      <x:c r="G285" t="str">
        <x:v>CES-BCM</x:v>
      </x:c>
      <x:c r="H285" t="str">
        <x:v>เช่ายืม</x:v>
      </x:c>
      <x:c r="I285" t="str">
        <x:v>พร้อมส่ง</x:v>
      </x:c>
      <x:c r="J285" t="str">
        <x:v>เช่ายืม</x:v>
      </x:c>
      <x:c r="K285" t="str">
        <x:v>อยู่ระหว่างเช่ายืม / เกินกำหนดคืน 88 วัน</x:v>
      </x:c>
      <x:c r="L285"/>
      <x:c r="M285" t="str">
        <x:f>IF(OR(H285="ใช้งานไม่ได้",H285="BROKEN",H285="Broken"),"ใช้งานไม่ได้",IF(OR(H285="ไม่พบในรายการ",H285="MISSING",H285="Missing"),"ไม่พบในรายการ",IF(OR(J285="เช่ายืม",J285="IN_USE",J285="IN-USE",H285="เช่ายืม"),"เช่ายืม",IF(H285="พร้อมส่ง","พร้อมส่ง","รอสอบเทียบ"))))</x:f>
        <x:v>เช่ายืม</x:v>
      </x:c>
    </x:row>
    <x:row r="286">
      <x:c r="A286" t="str">
        <x:v>31181</x:v>
      </x:c>
      <x:c r="B286" t="str">
        <x:v>31181</x:v>
      </x:c>
      <x:c r="C286" t="str">
        <x:v>B.Braun</x:v>
      </x:c>
      <x:c r="D286" t="str">
        <x:v>Spaceplus</x:v>
      </x:c>
      <x:c r="E286" t="str">
        <x:v>Spaceplus</x:v>
      </x:c>
      <x:c r="F286" t="str">
        <x:v>BBRAUN_SPACEPLUS</x:v>
      </x:c>
      <x:c r="G286" t="str">
        <x:v>CES-BPL</x:v>
      </x:c>
      <x:c r="H286" t="str">
        <x:v>เช่ายืม</x:v>
      </x:c>
      <x:c r="I286" t="str">
        <x:v>พร้อมส่ง</x:v>
      </x:c>
      <x:c r="J286" t="str">
        <x:v>เช่ายืม</x:v>
      </x:c>
      <x:c r="K286" t="str">
        <x:v>อยู่ระหว่างเช่ายืม / เกินกำหนดคืน 88 วัน</x:v>
      </x:c>
      <x:c r="L286"/>
      <x:c r="M286" t="str">
        <x:f>IF(OR(H286="ใช้งานไม่ได้",H286="BROKEN",H286="Broken"),"ใช้งานไม่ได้",IF(OR(H286="ไม่พบในรายการ",H286="MISSING",H286="Missing"),"ไม่พบในรายการ",IF(OR(J286="เช่ายืม",J286="IN_USE",J286="IN-USE",H286="เช่ายืม"),"เช่ายืม",IF(H286="พร้อมส่ง","พร้อมส่ง","รอสอบเทียบ"))))</x:f>
        <x:v>เช่ายืม</x:v>
      </x:c>
    </x:row>
    <x:row r="287">
      <x:c r="A287" t="str">
        <x:v>31219</x:v>
      </x:c>
      <x:c r="B287" t="str">
        <x:v>31219</x:v>
      </x:c>
      <x:c r="C287" t="str">
        <x:v>B.Braun</x:v>
      </x:c>
      <x:c r="D287" t="str">
        <x:v>Spaceplus</x:v>
      </x:c>
      <x:c r="E287" t="str">
        <x:v>Spaceplus</x:v>
      </x:c>
      <x:c r="F287" t="str">
        <x:v>BBRAUN_SPACEPLUS</x:v>
      </x:c>
      <x:c r="G287" t="str">
        <x:v>CES-BCM</x:v>
      </x:c>
      <x:c r="H287" t="str">
        <x:v>เช่ายืม</x:v>
      </x:c>
      <x:c r="I287" t="str">
        <x:v>พร้อมส่ง</x:v>
      </x:c>
      <x:c r="J287" t="str">
        <x:v>เช่ายืม</x:v>
      </x:c>
      <x:c r="K287" t="str">
        <x:v>อยู่ระหว่างเช่ายืม / เกินกำหนดคืน 88 วัน</x:v>
      </x:c>
      <x:c r="L287"/>
      <x:c r="M287" t="str">
        <x:f>IF(OR(H287="ใช้งานไม่ได้",H287="BROKEN",H287="Broken"),"ใช้งานไม่ได้",IF(OR(H287="ไม่พบในรายการ",H287="MISSING",H287="Missing"),"ไม่พบในรายการ",IF(OR(J287="เช่ายืม",J287="IN_USE",J287="IN-USE",H287="เช่ายืม"),"เช่ายืม",IF(H287="พร้อมส่ง","พร้อมส่ง","รอสอบเทียบ"))))</x:f>
        <x:v>เช่ายืม</x:v>
      </x:c>
    </x:row>
    <x:row r="288">
      <x:c r="A288" t="str">
        <x:v>31223</x:v>
      </x:c>
      <x:c r="B288" t="str">
        <x:v>31223</x:v>
      </x:c>
      <x:c r="C288" t="str">
        <x:v>B.Braun</x:v>
      </x:c>
      <x:c r="D288" t="str">
        <x:v>Spaceplus</x:v>
      </x:c>
      <x:c r="E288" t="str">
        <x:v>Spaceplus</x:v>
      </x:c>
      <x:c r="F288" t="str">
        <x:v>BBRAUN_SPACEPLUS</x:v>
      </x:c>
      <x:c r="G288" t="str">
        <x:v>โรงพยาบาลกรุงเทพ หัวหิน</x:v>
      </x:c>
      <x:c r="H288" t="str">
        <x:v>เช่ายืม</x:v>
      </x:c>
      <x:c r="I288" t="str">
        <x:v>พร้อมส่ง</x:v>
      </x:c>
      <x:c r="J288" t="str">
        <x:v>เช่ายืม</x:v>
      </x:c>
      <x:c r="K288" t="str">
        <x:v>อยู่ระหว่างเช่ายืม / เกินกำหนดคืน 73 วัน</x:v>
      </x:c>
      <x:c r="L288"/>
      <x:c r="M288" t="str">
        <x:f>IF(OR(H288="ใช้งานไม่ได้",H288="BROKEN",H288="Broken"),"ใช้งานไม่ได้",IF(OR(H288="ไม่พบในรายการ",H288="MISSING",H288="Missing"),"ไม่พบในรายการ",IF(OR(J288="เช่ายืม",J288="IN_USE",J288="IN-USE",H288="เช่ายืม"),"เช่ายืม",IF(H288="พร้อมส่ง","พร้อมส่ง","รอสอบเทียบ"))))</x:f>
        <x:v>เช่ายืม</x:v>
      </x:c>
    </x:row>
    <x:row r="289">
      <x:c r="A289" t="str">
        <x:v>31227</x:v>
      </x:c>
      <x:c r="B289" t="str">
        <x:v>31227</x:v>
      </x:c>
      <x:c r="C289" t="str">
        <x:v>B.Braun</x:v>
      </x:c>
      <x:c r="D289" t="str">
        <x:v>Spaceplus</x:v>
      </x:c>
      <x:c r="E289" t="str">
        <x:v>Spaceplus</x:v>
      </x:c>
      <x:c r="F289" t="str">
        <x:v>BBRAUN_SPACEPLUS</x:v>
      </x:c>
      <x:c r="G289" t="str">
        <x:v>STH</x:v>
      </x:c>
      <x:c r="H289" t="str">
        <x:v>เช่ายืม</x:v>
      </x:c>
      <x:c r="I289" t="str">
        <x:v>พร้อมส่ง</x:v>
      </x:c>
      <x:c r="J289" t="str">
        <x:v>เช่ายืม</x:v>
      </x:c>
      <x:c r="K289" t="str">
        <x:v>อยู่ระหว่างเช่ายืม / เกินกำหนดคืน 106 วัน</x:v>
      </x:c>
      <x:c r="L289"/>
      <x:c r="M289" t="str">
        <x:f>IF(OR(H289="ใช้งานไม่ได้",H289="BROKEN",H289="Broken"),"ใช้งานไม่ได้",IF(OR(H289="ไม่พบในรายการ",H289="MISSING",H289="Missing"),"ไม่พบในรายการ",IF(OR(J289="เช่ายืม",J289="IN_USE",J289="IN-USE",H289="เช่ายืม"),"เช่ายืม",IF(H289="พร้อมส่ง","พร้อมส่ง","รอสอบเทียบ"))))</x:f>
        <x:v>เช่ายืม</x:v>
      </x:c>
    </x:row>
    <x:row r="290">
      <x:c r="A290" t="str">
        <x:v>31229</x:v>
      </x:c>
      <x:c r="B290" t="str">
        <x:v>31229</x:v>
      </x:c>
      <x:c r="C290" t="str">
        <x:v>B.Braun</x:v>
      </x:c>
      <x:c r="D290" t="str">
        <x:v>Spaceplus</x:v>
      </x:c>
      <x:c r="E290" t="str">
        <x:v>Spaceplus</x:v>
      </x:c>
      <x:c r="F290" t="str">
        <x:v>BBRAUN_SPACEPLUS</x:v>
      </x:c>
      <x:c r="G290" t="str">
        <x:v>CES-BCM</x:v>
      </x:c>
      <x:c r="H290" t="str">
        <x:v>เช่ายืม</x:v>
      </x:c>
      <x:c r="I290" t="str">
        <x:v>พร้อมส่ง</x:v>
      </x:c>
      <x:c r="J290" t="str">
        <x:v>เช่ายืม</x:v>
      </x:c>
      <x:c r="K290" t="str">
        <x:v>อยู่ระหว่างเช่ายืม / เกินกำหนดคืน 88 วัน</x:v>
      </x:c>
      <x:c r="L290"/>
      <x:c r="M290" t="str">
        <x:f>IF(OR(H290="ใช้งานไม่ได้",H290="BROKEN",H290="Broken"),"ใช้งานไม่ได้",IF(OR(H290="ไม่พบในรายการ",H290="MISSING",H290="Missing"),"ไม่พบในรายการ",IF(OR(J290="เช่ายืม",J290="IN_USE",J290="IN-USE",H290="เช่ายืม"),"เช่ายืม",IF(H290="พร้อมส่ง","พร้อมส่ง","รอสอบเทียบ"))))</x:f>
        <x:v>เช่ายืม</x:v>
      </x:c>
    </x:row>
    <x:row r="291">
      <x:c r="A291" t="str">
        <x:v>31235</x:v>
      </x:c>
      <x:c r="B291" t="str">
        <x:v>31235</x:v>
      </x:c>
      <x:c r="C291" t="str">
        <x:v>B.Braun</x:v>
      </x:c>
      <x:c r="D291" t="str">
        <x:v>Spaceplus</x:v>
      </x:c>
      <x:c r="E291" t="str">
        <x:v>Spaceplus</x:v>
      </x:c>
      <x:c r="F291" t="str">
        <x:v>BBRAUN_SPACEPLUS</x:v>
      </x:c>
      <x:c r="G291" t="str">
        <x:v>CES-BPL</x:v>
      </x:c>
      <x:c r="H291" t="str">
        <x:v>เช่ายืม</x:v>
      </x:c>
      <x:c r="I291" t="str">
        <x:v>พร้อมส่ง</x:v>
      </x:c>
      <x:c r="J291" t="str">
        <x:v>เช่ายืม</x:v>
      </x:c>
      <x:c r="K291" t="str">
        <x:v>อยู่ระหว่างเช่ายืม / เกินกำหนดคืน 88 วัน</x:v>
      </x:c>
      <x:c r="L291"/>
      <x:c r="M291" t="str">
        <x:f>IF(OR(H291="ใช้งานไม่ได้",H291="BROKEN",H291="Broken"),"ใช้งานไม่ได้",IF(OR(H291="ไม่พบในรายการ",H291="MISSING",H291="Missing"),"ไม่พบในรายการ",IF(OR(J291="เช่ายืม",J291="IN_USE",J291="IN-USE",H291="เช่ายืม"),"เช่ายืม",IF(H291="พร้อมส่ง","พร้อมส่ง","รอสอบเทียบ"))))</x:f>
        <x:v>เช่ายืม</x:v>
      </x:c>
    </x:row>
    <x:row r="292">
      <x:c r="A292" t="str">
        <x:v>31329</x:v>
      </x:c>
      <x:c r="B292" t="str">
        <x:v>31329</x:v>
      </x:c>
      <x:c r="C292" t="str">
        <x:v>B.Braun</x:v>
      </x:c>
      <x:c r="D292" t="str">
        <x:v>Spaceplus</x:v>
      </x:c>
      <x:c r="E292" t="str">
        <x:v>Spaceplus</x:v>
      </x:c>
      <x:c r="F292" t="str">
        <x:v>BBRAUN_SPACEPLUS</x:v>
      </x:c>
      <x:c r="G292" t="str">
        <x:v>โรงพยาบาลกรุงเทพ หัวหิน</x:v>
      </x:c>
      <x:c r="H292" t="str">
        <x:v>เช่ายืม</x:v>
      </x:c>
      <x:c r="I292" t="str">
        <x:v>พร้อมส่ง</x:v>
      </x:c>
      <x:c r="J292" t="str">
        <x:v>เช่ายืม</x:v>
      </x:c>
      <x:c r="K292" t="str">
        <x:v>อยู่ระหว่างเช่ายืม / เกินกำหนดคืน 73 วัน</x:v>
      </x:c>
      <x:c r="L292"/>
      <x:c r="M292" t="str">
        <x:f>IF(OR(H292="ใช้งานไม่ได้",H292="BROKEN",H292="Broken"),"ใช้งานไม่ได้",IF(OR(H292="ไม่พบในรายการ",H292="MISSING",H292="Missing"),"ไม่พบในรายการ",IF(OR(J292="เช่ายืม",J292="IN_USE",J292="IN-USE",H292="เช่ายืม"),"เช่ายืม",IF(H292="พร้อมส่ง","พร้อมส่ง","รอสอบเทียบ"))))</x:f>
        <x:v>เช่ายืม</x:v>
      </x:c>
    </x:row>
    <x:row r="293">
      <x:c r="A293" t="str">
        <x:v>39409</x:v>
      </x:c>
      <x:c r="B293" t="str">
        <x:v>39409</x:v>
      </x:c>
      <x:c r="C293" t="str">
        <x:v>B.Braun</x:v>
      </x:c>
      <x:c r="D293" t="str">
        <x:v>Spaceplus</x:v>
      </x:c>
      <x:c r="E293" t="str">
        <x:v>Spaceplus</x:v>
      </x:c>
      <x:c r="F293" t="str">
        <x:v>BBRAUN_SPACEPLUS</x:v>
      </x:c>
      <x:c r="G293" t="str">
        <x:v>CES-BPL</x:v>
      </x:c>
      <x:c r="H293" t="str">
        <x:v>เช่ายืม</x:v>
      </x:c>
      <x:c r="I293" t="str">
        <x:v>พร้อมส่ง</x:v>
      </x:c>
      <x:c r="J293" t="str">
        <x:v>เช่ายืม</x:v>
      </x:c>
      <x:c r="K293" t="str">
        <x:v>อยู่ระหว่างเช่ายืม / เกินกำหนดคืน 88 วัน</x:v>
      </x:c>
      <x:c r="L293"/>
      <x:c r="M293" t="str">
        <x:f>IF(OR(H293="ใช้งานไม่ได้",H293="BROKEN",H293="Broken"),"ใช้งานไม่ได้",IF(OR(H293="ไม่พบในรายการ",H293="MISSING",H293="Missing"),"ไม่พบในรายการ",IF(OR(J293="เช่ายืม",J293="IN_USE",J293="IN-USE",H293="เช่ายืม"),"เช่ายืม",IF(H293="พร้อมส่ง","พร้อมส่ง","รอสอบเทียบ"))))</x:f>
        <x:v>เช่ายืม</x:v>
      </x:c>
    </x:row>
    <x:row r="294">
      <x:c r="A294" t="str">
        <x:v>39410</x:v>
      </x:c>
      <x:c r="B294" t="str">
        <x:v>39410</x:v>
      </x:c>
      <x:c r="C294" t="str">
        <x:v>B.Braun</x:v>
      </x:c>
      <x:c r="D294" t="str">
        <x:v>Spaceplus</x:v>
      </x:c>
      <x:c r="E294" t="str">
        <x:v>Spaceplus</x:v>
      </x:c>
      <x:c r="F294" t="str">
        <x:v>BBRAUN_SPACEPLUS</x:v>
      </x:c>
      <x:c r="G294" t="str">
        <x:v>STH</x:v>
      </x:c>
      <x:c r="H294" t="str">
        <x:v>เช่ายืม</x:v>
      </x:c>
      <x:c r="I294" t="str">
        <x:v>พร้อมส่ง</x:v>
      </x:c>
      <x:c r="J294" t="str">
        <x:v>เช่ายืม</x:v>
      </x:c>
      <x:c r="K294" t="str">
        <x:v>อยู่ระหว่างเช่ายืม / เกินกำหนดคืน 106 วัน</x:v>
      </x:c>
      <x:c r="L294"/>
      <x:c r="M294" t="str">
        <x:f>IF(OR(H294="ใช้งานไม่ได้",H294="BROKEN",H294="Broken"),"ใช้งานไม่ได้",IF(OR(H294="ไม่พบในรายการ",H294="MISSING",H294="Missing"),"ไม่พบในรายการ",IF(OR(J294="เช่ายืม",J294="IN_USE",J294="IN-USE",H294="เช่ายืม"),"เช่ายืม",IF(H294="พร้อมส่ง","พร้อมส่ง","รอสอบเทียบ"))))</x:f>
        <x:v>เช่ายืม</x:v>
      </x:c>
    </x:row>
    <x:row r="295">
      <x:c r="A295" t="str">
        <x:v>39411</x:v>
      </x:c>
      <x:c r="B295" t="str">
        <x:v>39411</x:v>
      </x:c>
      <x:c r="C295" t="str">
        <x:v>B.Braun</x:v>
      </x:c>
      <x:c r="D295" t="str">
        <x:v>Spaceplus</x:v>
      </x:c>
      <x:c r="E295" t="str">
        <x:v>Spaceplus</x:v>
      </x:c>
      <x:c r="F295" t="str">
        <x:v>BBRAUN_SPACEPLUS</x:v>
      </x:c>
      <x:c r="G295" t="str">
        <x:v>STH</x:v>
      </x:c>
      <x:c r="H295" t="str">
        <x:v>เช่ายืม</x:v>
      </x:c>
      <x:c r="I295" t="str">
        <x:v>พร้อมส่ง</x:v>
      </x:c>
      <x:c r="J295" t="str">
        <x:v>เช่ายืม</x:v>
      </x:c>
      <x:c r="K295" t="str">
        <x:v>อยู่ระหว่างเช่ายืม / เกินกำหนดคืน 106 วัน</x:v>
      </x:c>
      <x:c r="L295"/>
      <x:c r="M295" t="str">
        <x:f>IF(OR(H295="ใช้งานไม่ได้",H295="BROKEN",H295="Broken"),"ใช้งานไม่ได้",IF(OR(H295="ไม่พบในรายการ",H295="MISSING",H295="Missing"),"ไม่พบในรายการ",IF(OR(J295="เช่ายืม",J295="IN_USE",J295="IN-USE",H295="เช่ายืม"),"เช่ายืม",IF(H295="พร้อมส่ง","พร้อมส่ง","รอสอบเทียบ"))))</x:f>
        <x:v>เช่ายืม</x:v>
      </x:c>
    </x:row>
    <x:row r="296">
      <x:c r="A296" t="str">
        <x:v>39415</x:v>
      </x:c>
      <x:c r="B296" t="str">
        <x:v>39415</x:v>
      </x:c>
      <x:c r="C296" t="str">
        <x:v>B.Braun</x:v>
      </x:c>
      <x:c r="D296" t="str">
        <x:v>Spaceplus</x:v>
      </x:c>
      <x:c r="E296" t="str">
        <x:v>Spaceplus</x:v>
      </x:c>
      <x:c r="F296" t="str">
        <x:v>BBRAUN_SPACEPLUS</x:v>
      </x:c>
      <x:c r="G296" t="str">
        <x:v>CES-BCM</x:v>
      </x:c>
      <x:c r="H296" t="str">
        <x:v>เช่ายืม</x:v>
      </x:c>
      <x:c r="I296" t="str">
        <x:v>พร้อมส่ง</x:v>
      </x:c>
      <x:c r="J296" t="str">
        <x:v>เช่ายืม</x:v>
      </x:c>
      <x:c r="K296" t="str">
        <x:v>อยู่ระหว่างเช่ายืม / เกินกำหนดคืน 88 วัน</x:v>
      </x:c>
      <x:c r="L296"/>
      <x:c r="M296" t="str">
        <x:f>IF(OR(H296="ใช้งานไม่ได้",H296="BROKEN",H296="Broken"),"ใช้งานไม่ได้",IF(OR(H296="ไม่พบในรายการ",H296="MISSING",H296="Missing"),"ไม่พบในรายการ",IF(OR(J296="เช่ายืม",J296="IN_USE",J296="IN-USE",H296="เช่ายืม"),"เช่ายืม",IF(H296="พร้อมส่ง","พร้อมส่ง","รอสอบเทียบ"))))</x:f>
        <x:v>เช่ายืม</x:v>
      </x:c>
    </x:row>
    <x:row r="297">
      <x:c r="A297" t="str">
        <x:v>39416</x:v>
      </x:c>
      <x:c r="B297" t="str">
        <x:v>39416</x:v>
      </x:c>
      <x:c r="C297" t="str">
        <x:v>B.Braun</x:v>
      </x:c>
      <x:c r="D297" t="str">
        <x:v>Spaceplus</x:v>
      </x:c>
      <x:c r="E297" t="str">
        <x:v>Spaceplus</x:v>
      </x:c>
      <x:c r="F297" t="str">
        <x:v>BBRAUN_SPACEPLUS</x:v>
      </x:c>
      <x:c r="G297" t="str">
        <x:v>CES-BCM</x:v>
      </x:c>
      <x:c r="H297" t="str">
        <x:v>เช่ายืม</x:v>
      </x:c>
      <x:c r="I297" t="str">
        <x:v>พร้อมส่ง</x:v>
      </x:c>
      <x:c r="J297" t="str">
        <x:v>เช่ายืม</x:v>
      </x:c>
      <x:c r="K297" t="str">
        <x:v>อยู่ระหว่างเช่ายืม / เกินกำหนดคืน 88 วัน</x:v>
      </x:c>
      <x:c r="L297"/>
      <x:c r="M297" t="str">
        <x:f>IF(OR(H297="ใช้งานไม่ได้",H297="BROKEN",H297="Broken"),"ใช้งานไม่ได้",IF(OR(H297="ไม่พบในรายการ",H297="MISSING",H297="Missing"),"ไม่พบในรายการ",IF(OR(J297="เช่ายืม",J297="IN_USE",J297="IN-USE",H297="เช่ายืม"),"เช่ายืม",IF(H297="พร้อมส่ง","พร้อมส่ง","รอสอบเทียบ"))))</x:f>
        <x:v>เช่ายืม</x:v>
      </x:c>
    </x:row>
    <x:row r="298">
      <x:c r="A298" t="str">
        <x:v>39419</x:v>
      </x:c>
      <x:c r="B298" t="str">
        <x:v>39419</x:v>
      </x:c>
      <x:c r="C298" t="str">
        <x:v>B.Braun</x:v>
      </x:c>
      <x:c r="D298" t="str">
        <x:v>Spaceplus</x:v>
      </x:c>
      <x:c r="E298" t="str">
        <x:v>Spaceplus</x:v>
      </x:c>
      <x:c r="F298" t="str">
        <x:v>BBRAUN_SPACEPLUS</x:v>
      </x:c>
      <x:c r="G298" t="str">
        <x:v>โรงพยาบาลกรุงเทพ หัวหิน</x:v>
      </x:c>
      <x:c r="H298" t="str">
        <x:v>เช่ายืม</x:v>
      </x:c>
      <x:c r="I298" t="str">
        <x:v>พร้อมส่ง</x:v>
      </x:c>
      <x:c r="J298" t="str">
        <x:v>เช่ายืม</x:v>
      </x:c>
      <x:c r="K298" t="str">
        <x:v>อยู่ระหว่างเช่ายืม / เกินกำหนดคืน 73 วัน</x:v>
      </x:c>
      <x:c r="L298"/>
      <x:c r="M298" t="str">
        <x:f>IF(OR(H298="ใช้งานไม่ได้",H298="BROKEN",H298="Broken"),"ใช้งานไม่ได้",IF(OR(H298="ไม่พบในรายการ",H298="MISSING",H298="Missing"),"ไม่พบในรายการ",IF(OR(J298="เช่ายืม",J298="IN_USE",J298="IN-USE",H298="เช่ายืม"),"เช่ายืม",IF(H298="พร้อมส่ง","พร้อมส่ง","รอสอบเทียบ"))))</x:f>
        <x:v>เช่ายืม</x:v>
      </x:c>
    </x:row>
    <x:row r="299">
      <x:c r="A299" t="str">
        <x:v>39420</x:v>
      </x:c>
      <x:c r="B299" t="str">
        <x:v>39420</x:v>
      </x:c>
      <x:c r="C299" t="str">
        <x:v>B.Braun</x:v>
      </x:c>
      <x:c r="D299" t="str">
        <x:v>Spaceplus</x:v>
      </x:c>
      <x:c r="E299" t="str">
        <x:v>Spaceplus</x:v>
      </x:c>
      <x:c r="F299" t="str">
        <x:v>BBRAUN_SPACEPLUS</x:v>
      </x:c>
      <x:c r="G299" t="str">
        <x:v>CES-BPL</x:v>
      </x:c>
      <x:c r="H299" t="str">
        <x:v>เช่ายืม</x:v>
      </x:c>
      <x:c r="I299" t="str">
        <x:v>พร้อมส่ง</x:v>
      </x:c>
      <x:c r="J299" t="str">
        <x:v>เช่ายืม</x:v>
      </x:c>
      <x:c r="K299" t="str">
        <x:v>อยู่ระหว่างเช่ายืม / เกินกำหนดคืน 88 วัน</x:v>
      </x:c>
      <x:c r="L299"/>
      <x:c r="M299" t="str">
        <x:f>IF(OR(H299="ใช้งานไม่ได้",H299="BROKEN",H299="Broken"),"ใช้งานไม่ได้",IF(OR(H299="ไม่พบในรายการ",H299="MISSING",H299="Missing"),"ไม่พบในรายการ",IF(OR(J299="เช่ายืม",J299="IN_USE",J299="IN-USE",H299="เช่ายืม"),"เช่ายืม",IF(H299="พร้อมส่ง","พร้อมส่ง","รอสอบเทียบ"))))</x:f>
        <x:v>เช่ายืม</x:v>
      </x:c>
    </x:row>
    <x:row r="300">
      <x:c r="A300" t="str">
        <x:v>39428</x:v>
      </x:c>
      <x:c r="B300" t="str">
        <x:v>39428</x:v>
      </x:c>
      <x:c r="C300" t="str">
        <x:v>B.Braun</x:v>
      </x:c>
      <x:c r="D300" t="str">
        <x:v>Spaceplus</x:v>
      </x:c>
      <x:c r="E300" t="str">
        <x:v>Spaceplus</x:v>
      </x:c>
      <x:c r="F300" t="str">
        <x:v>BBRAUN_SPACEPLUS</x:v>
      </x:c>
      <x:c r="G300" t="str">
        <x:v>STH</x:v>
      </x:c>
      <x:c r="H300" t="str">
        <x:v>เช่ายืม</x:v>
      </x:c>
      <x:c r="I300" t="str">
        <x:v>พร้อมส่ง</x:v>
      </x:c>
      <x:c r="J300" t="str">
        <x:v>เช่ายืม</x:v>
      </x:c>
      <x:c r="K300" t="str">
        <x:v>อยู่ระหว่างเช่ายืม / เกินกำหนดคืน 106 วัน</x:v>
      </x:c>
      <x:c r="L300"/>
      <x:c r="M300" t="str">
        <x:f>IF(OR(H300="ใช้งานไม่ได้",H300="BROKEN",H300="Broken"),"ใช้งานไม่ได้",IF(OR(H300="ไม่พบในรายการ",H300="MISSING",H300="Missing"),"ไม่พบในรายการ",IF(OR(J300="เช่ายืม",J300="IN_USE",J300="IN-USE",H300="เช่ายืม"),"เช่ายืม",IF(H300="พร้อมส่ง","พร้อมส่ง","รอสอบเทียบ"))))</x:f>
        <x:v>เช่ายืม</x:v>
      </x:c>
    </x:row>
    <x:row r="301">
      <x:c r="A301" t="str">
        <x:v>39441</x:v>
      </x:c>
      <x:c r="B301" t="str">
        <x:v>39441</x:v>
      </x:c>
      <x:c r="C301" t="str">
        <x:v>B.Braun</x:v>
      </x:c>
      <x:c r="D301" t="str">
        <x:v>Spaceplus</x:v>
      </x:c>
      <x:c r="E301" t="str">
        <x:v>Spaceplus</x:v>
      </x:c>
      <x:c r="F301" t="str">
        <x:v>BBRAUN_SPACEPLUS</x:v>
      </x:c>
      <x:c r="G301" t="str">
        <x:v>CES-BCM</x:v>
      </x:c>
      <x:c r="H301" t="str">
        <x:v>เช่ายืม</x:v>
      </x:c>
      <x:c r="I301" t="str">
        <x:v>พร้อมส่ง</x:v>
      </x:c>
      <x:c r="J301" t="str">
        <x:v>เช่ายืม</x:v>
      </x:c>
      <x:c r="K301" t="str">
        <x:v>อยู่ระหว่างเช่ายืม / เกินกำหนดคืน 88 วัน</x:v>
      </x:c>
      <x:c r="L301"/>
      <x:c r="M301" t="str">
        <x:f>IF(OR(H301="ใช้งานไม่ได้",H301="BROKEN",H301="Broken"),"ใช้งานไม่ได้",IF(OR(H301="ไม่พบในรายการ",H301="MISSING",H301="Missing"),"ไม่พบในรายการ",IF(OR(J301="เช่ายืม",J301="IN_USE",J301="IN-USE",H301="เช่ายืม"),"เช่ายืม",IF(H301="พร้อมส่ง","พร้อมส่ง","รอสอบเทียบ"))))</x:f>
        <x:v>เช่ายืม</x:v>
      </x:c>
    </x:row>
    <x:row r="302">
      <x:c r="A302" t="str">
        <x:v>39450</x:v>
      </x:c>
      <x:c r="B302" t="str">
        <x:v>39450</x:v>
      </x:c>
      <x:c r="C302" t="str">
        <x:v>B.Braun</x:v>
      </x:c>
      <x:c r="D302" t="str">
        <x:v>Spaceplus</x:v>
      </x:c>
      <x:c r="E302" t="str">
        <x:v>Spaceplus</x:v>
      </x:c>
      <x:c r="F302" t="str">
        <x:v>BBRAUN_SPACEPLUS</x:v>
      </x:c>
      <x:c r="G302" t="str">
        <x:v>โรงพยาบาลกรุงเทพ หัวหิน</x:v>
      </x:c>
      <x:c r="H302" t="str">
        <x:v>เช่ายืม</x:v>
      </x:c>
      <x:c r="I302" t="str">
        <x:v>พร้อมส่ง</x:v>
      </x:c>
      <x:c r="J302" t="str">
        <x:v>เช่ายืม</x:v>
      </x:c>
      <x:c r="K302" t="str">
        <x:v>อยู่ระหว่างเช่ายืม / เกินกำหนดคืน 73 วัน</x:v>
      </x:c>
      <x:c r="L302"/>
      <x:c r="M302" t="str">
        <x:f>IF(OR(H302="ใช้งานไม่ได้",H302="BROKEN",H302="Broken"),"ใช้งานไม่ได้",IF(OR(H302="ไม่พบในรายการ",H302="MISSING",H302="Missing"),"ไม่พบในรายการ",IF(OR(J302="เช่ายืม",J302="IN_USE",J302="IN-USE",H302="เช่ายืม"),"เช่ายืม",IF(H302="พร้อมส่ง","พร้อมส่ง","รอสอบเทียบ"))))</x:f>
        <x:v>เช่ายืม</x:v>
      </x:c>
    </x:row>
    <x:row r="303">
      <x:c r="A303" t="str">
        <x:v>39453</x:v>
      </x:c>
      <x:c r="B303" t="str">
        <x:v>39453</x:v>
      </x:c>
      <x:c r="C303" t="str">
        <x:v>B.Braun</x:v>
      </x:c>
      <x:c r="D303" t="str">
        <x:v>Spaceplus</x:v>
      </x:c>
      <x:c r="E303" t="str">
        <x:v>Spaceplus</x:v>
      </x:c>
      <x:c r="F303" t="str">
        <x:v>BBRAUN_SPACEPLUS</x:v>
      </x:c>
      <x:c r="G303" t="str">
        <x:v>CES-BPL</x:v>
      </x:c>
      <x:c r="H303" t="str">
        <x:v>เช่ายืม</x:v>
      </x:c>
      <x:c r="I303" t="str">
        <x:v>พร้อมส่ง</x:v>
      </x:c>
      <x:c r="J303" t="str">
        <x:v>เช่ายืม</x:v>
      </x:c>
      <x:c r="K303" t="str">
        <x:v>อยู่ระหว่างเช่ายืม / เกินกำหนดคืน 88 วัน</x:v>
      </x:c>
      <x:c r="L303"/>
      <x:c r="M303" t="str">
        <x:f>IF(OR(H303="ใช้งานไม่ได้",H303="BROKEN",H303="Broken"),"ใช้งานไม่ได้",IF(OR(H303="ไม่พบในรายการ",H303="MISSING",H303="Missing"),"ไม่พบในรายการ",IF(OR(J303="เช่ายืม",J303="IN_USE",J303="IN-USE",H303="เช่ายืม"),"เช่ายืม",IF(H303="พร้อมส่ง","พร้อมส่ง","รอสอบเทียบ"))))</x:f>
        <x:v>เช่ายืม</x:v>
      </x:c>
    </x:row>
    <x:row r="304">
      <x:c r="A304" t="str">
        <x:v>39454</x:v>
      </x:c>
      <x:c r="B304" t="str">
        <x:v>39454</x:v>
      </x:c>
      <x:c r="C304" t="str">
        <x:v>B.Braun</x:v>
      </x:c>
      <x:c r="D304" t="str">
        <x:v>Spaceplus</x:v>
      </x:c>
      <x:c r="E304" t="str">
        <x:v>Spaceplus</x:v>
      </x:c>
      <x:c r="F304" t="str">
        <x:v>BBRAUN_SPACEPLUS</x:v>
      </x:c>
      <x:c r="G304" t="str">
        <x:v>โรงพยาบาลกรุงเทพ หัวหิน</x:v>
      </x:c>
      <x:c r="H304" t="str">
        <x:v>เช่ายืม</x:v>
      </x:c>
      <x:c r="I304" t="str">
        <x:v>พร้อมส่ง</x:v>
      </x:c>
      <x:c r="J304" t="str">
        <x:v>เช่ายืม</x:v>
      </x:c>
      <x:c r="K304" t="str">
        <x:v>อยู่ระหว่างเช่ายืม / เกินกำหนดคืน 73 วัน</x:v>
      </x:c>
      <x:c r="L304"/>
      <x:c r="M304" t="str">
        <x:f>IF(OR(H304="ใช้งานไม่ได้",H304="BROKEN",H304="Broken"),"ใช้งานไม่ได้",IF(OR(H304="ไม่พบในรายการ",H304="MISSING",H304="Missing"),"ไม่พบในรายการ",IF(OR(J304="เช่ายืม",J304="IN_USE",J304="IN-USE",H304="เช่ายืม"),"เช่ายืม",IF(H304="พร้อมส่ง","พร้อมส่ง","รอสอบเทียบ"))))</x:f>
        <x:v>เช่ายืม</x:v>
      </x:c>
    </x:row>
    <x:row r="305">
      <x:c r="A305" t="str">
        <x:v>39460</x:v>
      </x:c>
      <x:c r="B305" t="str">
        <x:v>39460</x:v>
      </x:c>
      <x:c r="C305" t="str">
        <x:v>B.Braun</x:v>
      </x:c>
      <x:c r="D305" t="str">
        <x:v>Spaceplus</x:v>
      </x:c>
      <x:c r="E305" t="str">
        <x:v>Spaceplus</x:v>
      </x:c>
      <x:c r="F305" t="str">
        <x:v>BBRAUN_SPACEPLUS</x:v>
      </x:c>
      <x:c r="G305" t="str">
        <x:v>โรงพยาบาลกรุงเทพ หัวหิน</x:v>
      </x:c>
      <x:c r="H305" t="str">
        <x:v>เช่ายืม</x:v>
      </x:c>
      <x:c r="I305" t="str">
        <x:v>พร้อมส่ง</x:v>
      </x:c>
      <x:c r="J305" t="str">
        <x:v>เช่ายืม</x:v>
      </x:c>
      <x:c r="K305" t="str">
        <x:v>อยู่ระหว่างเช่ายืม / เกินกำหนดคืน 73 วัน</x:v>
      </x:c>
      <x:c r="L305"/>
      <x:c r="M305" t="str">
        <x:f>IF(OR(H305="ใช้งานไม่ได้",H305="BROKEN",H305="Broken"),"ใช้งานไม่ได้",IF(OR(H305="ไม่พบในรายการ",H305="MISSING",H305="Missing"),"ไม่พบในรายการ",IF(OR(J305="เช่ายืม",J305="IN_USE",J305="IN-USE",H305="เช่ายืม"),"เช่ายืม",IF(H305="พร้อมส่ง","พร้อมส่ง","รอสอบเทียบ"))))</x:f>
        <x:v>เช่ายืม</x:v>
      </x:c>
    </x:row>
    <x:row r="306">
      <x:c r="A306" t="str">
        <x:v>39462</x:v>
      </x:c>
      <x:c r="B306" t="str">
        <x:v>39462</x:v>
      </x:c>
      <x:c r="C306" t="str">
        <x:v>B.Braun</x:v>
      </x:c>
      <x:c r="D306" t="str">
        <x:v>Spaceplus</x:v>
      </x:c>
      <x:c r="E306" t="str">
        <x:v>Spaceplus</x:v>
      </x:c>
      <x:c r="F306" t="str">
        <x:v>BBRAUN_SPACEPLUS</x:v>
      </x:c>
      <x:c r="G306" t="str">
        <x:v>โรงพยาบาลกรุงเทพ หัวหิน</x:v>
      </x:c>
      <x:c r="H306" t="str">
        <x:v>เช่ายืม</x:v>
      </x:c>
      <x:c r="I306" t="str">
        <x:v>พร้อมส่ง</x:v>
      </x:c>
      <x:c r="J306" t="str">
        <x:v>เช่ายืม</x:v>
      </x:c>
      <x:c r="K306" t="str">
        <x:v>อยู่ระหว่างเช่ายืม / เกินกำหนดคืน 73 วัน</x:v>
      </x:c>
      <x:c r="L306"/>
      <x:c r="M306" t="str">
        <x:f>IF(OR(H306="ใช้งานไม่ได้",H306="BROKEN",H306="Broken"),"ใช้งานไม่ได้",IF(OR(H306="ไม่พบในรายการ",H306="MISSING",H306="Missing"),"ไม่พบในรายการ",IF(OR(J306="เช่ายืม",J306="IN_USE",J306="IN-USE",H306="เช่ายืม"),"เช่ายืม",IF(H306="พร้อมส่ง","พร้อมส่ง","รอสอบเทียบ"))))</x:f>
        <x:v>เช่ายืม</x:v>
      </x:c>
    </x:row>
    <x:row r="307">
      <x:c r="A307" t="str">
        <x:v>39463</x:v>
      </x:c>
      <x:c r="B307" t="str">
        <x:v>39463</x:v>
      </x:c>
      <x:c r="C307" t="str">
        <x:v>B.Braun</x:v>
      </x:c>
      <x:c r="D307" t="str">
        <x:v>Spaceplus</x:v>
      </x:c>
      <x:c r="E307" t="str">
        <x:v>Spaceplus</x:v>
      </x:c>
      <x:c r="F307" t="str">
        <x:v>BBRAUN_SPACEPLUS</x:v>
      </x:c>
      <x:c r="G307" t="str">
        <x:v>CES-BPL</x:v>
      </x:c>
      <x:c r="H307" t="str">
        <x:v>เช่ายืม</x:v>
      </x:c>
      <x:c r="I307" t="str">
        <x:v>พร้อมส่ง</x:v>
      </x:c>
      <x:c r="J307" t="str">
        <x:v>เช่ายืม</x:v>
      </x:c>
      <x:c r="K307" t="str">
        <x:v>อยู่ระหว่างเช่ายืม / เกินกำหนดคืน 88 วัน</x:v>
      </x:c>
      <x:c r="L307"/>
      <x:c r="M307" t="str">
        <x:f>IF(OR(H307="ใช้งานไม่ได้",H307="BROKEN",H307="Broken"),"ใช้งานไม่ได้",IF(OR(H307="ไม่พบในรายการ",H307="MISSING",H307="Missing"),"ไม่พบในรายการ",IF(OR(J307="เช่ายืม",J307="IN_USE",J307="IN-USE",H307="เช่ายืม"),"เช่ายืม",IF(H307="พร้อมส่ง","พร้อมส่ง","รอสอบเทียบ"))))</x:f>
        <x:v>เช่ายืม</x:v>
      </x:c>
    </x:row>
    <x:row r="308">
      <x:c r="A308" t="str">
        <x:v>39471</x:v>
      </x:c>
      <x:c r="B308" t="str">
        <x:v>39471</x:v>
      </x:c>
      <x:c r="C308" t="str">
        <x:v>B.Braun</x:v>
      </x:c>
      <x:c r="D308" t="str">
        <x:v>Spaceplus</x:v>
      </x:c>
      <x:c r="E308" t="str">
        <x:v>Spaceplus</x:v>
      </x:c>
      <x:c r="F308" t="str">
        <x:v>BBRAUN_SPACEPLUS</x:v>
      </x:c>
      <x:c r="G308" t="str">
        <x:v>CES-BCM</x:v>
      </x:c>
      <x:c r="H308" t="str">
        <x:v>เช่ายืม</x:v>
      </x:c>
      <x:c r="I308" t="str">
        <x:v>พร้อมส่ง</x:v>
      </x:c>
      <x:c r="J308" t="str">
        <x:v>เช่ายืม</x:v>
      </x:c>
      <x:c r="K308" t="str">
        <x:v>อยู่ระหว่างเช่ายืม / เกินกำหนดคืน 88 วัน</x:v>
      </x:c>
      <x:c r="L308"/>
      <x:c r="M308" t="str">
        <x:f>IF(OR(H308="ใช้งานไม่ได้",H308="BROKEN",H308="Broken"),"ใช้งานไม่ได้",IF(OR(H308="ไม่พบในรายการ",H308="MISSING",H308="Missing"),"ไม่พบในรายการ",IF(OR(J308="เช่ายืม",J308="IN_USE",J308="IN-USE",H308="เช่ายืม"),"เช่ายืม",IF(H308="พร้อมส่ง","พร้อมส่ง","รอสอบเทียบ"))))</x:f>
        <x:v>เช่ายืม</x:v>
      </x:c>
    </x:row>
    <x:row r="309">
      <x:c r="A309" t="str">
        <x:v>39472</x:v>
      </x:c>
      <x:c r="B309" t="str">
        <x:v>39472</x:v>
      </x:c>
      <x:c r="C309" t="str">
        <x:v>B.Braun</x:v>
      </x:c>
      <x:c r="D309" t="str">
        <x:v>Spaceplus</x:v>
      </x:c>
      <x:c r="E309" t="str">
        <x:v>Spaceplus</x:v>
      </x:c>
      <x:c r="F309" t="str">
        <x:v>BBRAUN_SPACEPLUS</x:v>
      </x:c>
      <x:c r="G309" t="str">
        <x:v>CES-BPL</x:v>
      </x:c>
      <x:c r="H309" t="str">
        <x:v>เช่ายืม</x:v>
      </x:c>
      <x:c r="I309" t="str">
        <x:v>พร้อมส่ง</x:v>
      </x:c>
      <x:c r="J309" t="str">
        <x:v>เช่ายืม</x:v>
      </x:c>
      <x:c r="K309" t="str">
        <x:v>อยู่ระหว่างเช่ายืม / เกินกำหนดคืน 88 วัน</x:v>
      </x:c>
      <x:c r="L309"/>
      <x:c r="M309" t="str">
        <x:f>IF(OR(H309="ใช้งานไม่ได้",H309="BROKEN",H309="Broken"),"ใช้งานไม่ได้",IF(OR(H309="ไม่พบในรายการ",H309="MISSING",H309="Missing"),"ไม่พบในรายการ",IF(OR(J309="เช่ายืม",J309="IN_USE",J309="IN-USE",H309="เช่ายืม"),"เช่ายืม",IF(H309="พร้อมส่ง","พร้อมส่ง","รอสอบเทียบ"))))</x:f>
        <x:v>เช่ายืม</x:v>
      </x:c>
    </x:row>
    <x:row r="310">
      <x:c r="A310" t="str">
        <x:v>39475</x:v>
      </x:c>
      <x:c r="B310" t="str">
        <x:v>39475</x:v>
      </x:c>
      <x:c r="C310" t="str">
        <x:v>B.Braun</x:v>
      </x:c>
      <x:c r="D310" t="str">
        <x:v>Spaceplus</x:v>
      </x:c>
      <x:c r="E310" t="str">
        <x:v>Spaceplus</x:v>
      </x:c>
      <x:c r="F310" t="str">
        <x:v>BBRAUN_SPACEPLUS</x:v>
      </x:c>
      <x:c r="G310" t="str">
        <x:v>Warehouse</x:v>
      </x:c>
      <x:c r="H310" t="str">
        <x:v>รอสอบเทียบ</x:v>
      </x:c>
      <x:c r="I310" t="str">
        <x:v>รอสอบเทียบ</x:v>
      </x:c>
      <x:c r="J310" t="str">
        <x:v>ไม่มีสัญญา</x:v>
      </x:c>
      <x:c r="K310" t="str">
        <x:v>รอสอบเทียบก่อนพร้อมส่ง</x:v>
      </x:c>
      <x:c r="L310" t="str">
        <x:v>ไม่ได้เช่ายืม = รอสอบเทียบ</x:v>
      </x:c>
      <x:c r="M310" t="str">
        <x:f>IF(OR(H310="ใช้งานไม่ได้",H310="BROKEN",H310="Broken"),"ใช้งานไม่ได้",IF(OR(H310="ไม่พบในรายการ",H310="MISSING",H310="Missing"),"ไม่พบในรายการ",IF(OR(J310="เช่ายืม",J310="IN_USE",J310="IN-USE",H310="เช่ายืม"),"เช่ายืม",IF(H310="พร้อมส่ง","พร้อมส่ง","รอสอบเทียบ"))))</x:f>
        <x:v>รอสอบเทียบ</x:v>
      </x:c>
    </x:row>
    <x:row r="311">
      <x:c r="A311" t="str">
        <x:v>39477</x:v>
      </x:c>
      <x:c r="B311" t="str">
        <x:v>39477</x:v>
      </x:c>
      <x:c r="C311" t="str">
        <x:v>B.Braun</x:v>
      </x:c>
      <x:c r="D311" t="str">
        <x:v>Spaceplus</x:v>
      </x:c>
      <x:c r="E311" t="str">
        <x:v>Spaceplus</x:v>
      </x:c>
      <x:c r="F311" t="str">
        <x:v>BBRAUN_SPACEPLUS</x:v>
      </x:c>
      <x:c r="G311" t="str">
        <x:v>โรงพยาบาลกรุงเทพ หัวหิน</x:v>
      </x:c>
      <x:c r="H311" t="str">
        <x:v>เช่ายืม</x:v>
      </x:c>
      <x:c r="I311" t="str">
        <x:v>พร้อมส่ง</x:v>
      </x:c>
      <x:c r="J311" t="str">
        <x:v>เช่ายืม</x:v>
      </x:c>
      <x:c r="K311" t="str">
        <x:v>อยู่ระหว่างเช่ายืม / เกินกำหนดคืน 73 วัน</x:v>
      </x:c>
      <x:c r="L311"/>
      <x:c r="M311" t="str">
        <x:f>IF(OR(H311="ใช้งานไม่ได้",H311="BROKEN",H311="Broken"),"ใช้งานไม่ได้",IF(OR(H311="ไม่พบในรายการ",H311="MISSING",H311="Missing"),"ไม่พบในรายการ",IF(OR(J311="เช่ายืม",J311="IN_USE",J311="IN-USE",H311="เช่ายืม"),"เช่ายืม",IF(H311="พร้อมส่ง","พร้อมส่ง","รอสอบเทียบ"))))</x:f>
        <x:v>เช่ายืม</x:v>
      </x:c>
    </x:row>
    <x:row r="312">
      <x:c r="A312" t="str">
        <x:v>39478</x:v>
      </x:c>
      <x:c r="B312" t="str">
        <x:v>39478</x:v>
      </x:c>
      <x:c r="C312" t="str">
        <x:v>B.Braun</x:v>
      </x:c>
      <x:c r="D312" t="str">
        <x:v>Spaceplus</x:v>
      </x:c>
      <x:c r="E312" t="str">
        <x:v>Spaceplus</x:v>
      </x:c>
      <x:c r="F312" t="str">
        <x:v>BBRAUN_SPACEPLUS</x:v>
      </x:c>
      <x:c r="G312" t="str">
        <x:v>โรงพยาบาลกรุงเทพ หัวหิน</x:v>
      </x:c>
      <x:c r="H312" t="str">
        <x:v>เช่ายืม</x:v>
      </x:c>
      <x:c r="I312" t="str">
        <x:v>พร้อมส่ง</x:v>
      </x:c>
      <x:c r="J312" t="str">
        <x:v>เช่ายืม</x:v>
      </x:c>
      <x:c r="K312" t="str">
        <x:v>อยู่ระหว่างเช่ายืม / เกินกำหนดคืน 73 วัน</x:v>
      </x:c>
      <x:c r="L312"/>
      <x:c r="M312" t="str">
        <x:f>IF(OR(H312="ใช้งานไม่ได้",H312="BROKEN",H312="Broken"),"ใช้งานไม่ได้",IF(OR(H312="ไม่พบในรายการ",H312="MISSING",H312="Missing"),"ไม่พบในรายการ",IF(OR(J312="เช่ายืม",J312="IN_USE",J312="IN-USE",H312="เช่ายืม"),"เช่ายืม",IF(H312="พร้อมส่ง","พร้อมส่ง","รอสอบเทียบ"))))</x:f>
        <x:v>เช่ายืม</x:v>
      </x:c>
    </x:row>
    <x:row r="313">
      <x:c r="A313" t="str">
        <x:v>39480</x:v>
      </x:c>
      <x:c r="B313" t="str">
        <x:v>39480</x:v>
      </x:c>
      <x:c r="C313" t="str">
        <x:v>B.Braun</x:v>
      </x:c>
      <x:c r="D313" t="str">
        <x:v>Spaceplus</x:v>
      </x:c>
      <x:c r="E313" t="str">
        <x:v>Spaceplus</x:v>
      </x:c>
      <x:c r="F313" t="str">
        <x:v>BBRAUN_SPACEPLUS</x:v>
      </x:c>
      <x:c r="G313" t="str">
        <x:v>โรงพยาบาลกรุงเทพ หัวหิน</x:v>
      </x:c>
      <x:c r="H313" t="str">
        <x:v>เช่ายืม</x:v>
      </x:c>
      <x:c r="I313" t="str">
        <x:v>พร้อมส่ง</x:v>
      </x:c>
      <x:c r="J313" t="str">
        <x:v>เช่ายืม</x:v>
      </x:c>
      <x:c r="K313" t="str">
        <x:v>อยู่ระหว่างเช่ายืม / เกินกำหนดคืน 73 วัน</x:v>
      </x:c>
      <x:c r="L313"/>
      <x:c r="M313" t="str">
        <x:f>IF(OR(H313="ใช้งานไม่ได้",H313="BROKEN",H313="Broken"),"ใช้งานไม่ได้",IF(OR(H313="ไม่พบในรายการ",H313="MISSING",H313="Missing"),"ไม่พบในรายการ",IF(OR(J313="เช่ายืม",J313="IN_USE",J313="IN-USE",H313="เช่ายืม"),"เช่ายืม",IF(H313="พร้อมส่ง","พร้อมส่ง","รอสอบเทียบ"))))</x:f>
        <x:v>เช่ายืม</x:v>
      </x:c>
    </x:row>
    <x:row r="314">
      <x:c r="A314" t="str">
        <x:v>39481</x:v>
      </x:c>
      <x:c r="B314" t="str">
        <x:v>39481</x:v>
      </x:c>
      <x:c r="C314" t="str">
        <x:v>B.Braun</x:v>
      </x:c>
      <x:c r="D314" t="str">
        <x:v>Spaceplus</x:v>
      </x:c>
      <x:c r="E314" t="str">
        <x:v>Spaceplus</x:v>
      </x:c>
      <x:c r="F314" t="str">
        <x:v>BBRAUN_SPACEPLUS</x:v>
      </x:c>
      <x:c r="G314" t="str">
        <x:v>STH</x:v>
      </x:c>
      <x:c r="H314" t="str">
        <x:v>เช่ายืม</x:v>
      </x:c>
      <x:c r="I314" t="str">
        <x:v>พร้อมส่ง</x:v>
      </x:c>
      <x:c r="J314" t="str">
        <x:v>เช่ายืม</x:v>
      </x:c>
      <x:c r="K314" t="str">
        <x:v>อยู่ระหว่างเช่ายืม / เกินกำหนดคืน 106 วัน</x:v>
      </x:c>
      <x:c r="L314"/>
      <x:c r="M314" t="str">
        <x:f>IF(OR(H314="ใช้งานไม่ได้",H314="BROKEN",H314="Broken"),"ใช้งานไม่ได้",IF(OR(H314="ไม่พบในรายการ",H314="MISSING",H314="Missing"),"ไม่พบในรายการ",IF(OR(J314="เช่ายืม",J314="IN_USE",J314="IN-USE",H314="เช่ายืม"),"เช่ายืม",IF(H314="พร้อมส่ง","พร้อมส่ง","รอสอบเทียบ"))))</x:f>
        <x:v>เช่ายืม</x:v>
      </x:c>
    </x:row>
    <x:row r="315">
      <x:c r="A315" t="str">
        <x:v>39490</x:v>
      </x:c>
      <x:c r="B315" t="str">
        <x:v>39490</x:v>
      </x:c>
      <x:c r="C315" t="str">
        <x:v>B.Braun</x:v>
      </x:c>
      <x:c r="D315" t="str">
        <x:v>Spaceplus</x:v>
      </x:c>
      <x:c r="E315" t="str">
        <x:v>Spaceplus</x:v>
      </x:c>
      <x:c r="F315" t="str">
        <x:v>BBRAUN_SPACEPLUS</x:v>
      </x:c>
      <x:c r="G315" t="str">
        <x:v>CES-BPL</x:v>
      </x:c>
      <x:c r="H315" t="str">
        <x:v>เช่ายืม</x:v>
      </x:c>
      <x:c r="I315" t="str">
        <x:v>พร้อมส่ง</x:v>
      </x:c>
      <x:c r="J315" t="str">
        <x:v>เช่ายืม</x:v>
      </x:c>
      <x:c r="K315" t="str">
        <x:v>อยู่ระหว่างเช่ายืม / เกินกำหนดคืน 88 วัน</x:v>
      </x:c>
      <x:c r="L315"/>
      <x:c r="M315" t="str">
        <x:f>IF(OR(H315="ใช้งานไม่ได้",H315="BROKEN",H315="Broken"),"ใช้งานไม่ได้",IF(OR(H315="ไม่พบในรายการ",H315="MISSING",H315="Missing"),"ไม่พบในรายการ",IF(OR(J315="เช่ายืม",J315="IN_USE",J315="IN-USE",H315="เช่ายืม"),"เช่ายืม",IF(H315="พร้อมส่ง","พร้อมส่ง","รอสอบเทียบ"))))</x:f>
        <x:v>เช่ายืม</x:v>
      </x:c>
    </x:row>
    <x:row r="316">
      <x:c r="A316" t="str">
        <x:v>39492</x:v>
      </x:c>
      <x:c r="B316" t="str">
        <x:v>39492</x:v>
      </x:c>
      <x:c r="C316" t="str">
        <x:v>B.Braun</x:v>
      </x:c>
      <x:c r="D316" t="str">
        <x:v>Spaceplus</x:v>
      </x:c>
      <x:c r="E316" t="str">
        <x:v>Spaceplus</x:v>
      </x:c>
      <x:c r="F316" t="str">
        <x:v>BBRAUN_SPACEPLUS</x:v>
      </x:c>
      <x:c r="G316" t="str">
        <x:v>CES-BCM</x:v>
      </x:c>
      <x:c r="H316" t="str">
        <x:v>เช่ายืม</x:v>
      </x:c>
      <x:c r="I316" t="str">
        <x:v>พร้อมส่ง</x:v>
      </x:c>
      <x:c r="J316" t="str">
        <x:v>เช่ายืม</x:v>
      </x:c>
      <x:c r="K316" t="str">
        <x:v>อยู่ระหว่างเช่ายืม / เกินกำหนดคืน 88 วัน</x:v>
      </x:c>
      <x:c r="L316"/>
      <x:c r="M316" t="str">
        <x:f>IF(OR(H316="ใช้งานไม่ได้",H316="BROKEN",H316="Broken"),"ใช้งานไม่ได้",IF(OR(H316="ไม่พบในรายการ",H316="MISSING",H316="Missing"),"ไม่พบในรายการ",IF(OR(J316="เช่ายืม",J316="IN_USE",J316="IN-USE",H316="เช่ายืม"),"เช่ายืม",IF(H316="พร้อมส่ง","พร้อมส่ง","รอสอบเทียบ"))))</x:f>
        <x:v>เช่ายืม</x:v>
      </x:c>
    </x:row>
    <x:row r="317">
      <x:c r="A317" t="str">
        <x:v>39498</x:v>
      </x:c>
      <x:c r="B317" t="str">
        <x:v>39498</x:v>
      </x:c>
      <x:c r="C317" t="str">
        <x:v>B.Braun</x:v>
      </x:c>
      <x:c r="D317" t="str">
        <x:v>Spaceplus</x:v>
      </x:c>
      <x:c r="E317" t="str">
        <x:v>Spaceplus</x:v>
      </x:c>
      <x:c r="F317" t="str">
        <x:v>BBRAUN_SPACEPLUS</x:v>
      </x:c>
      <x:c r="G317" t="str">
        <x:v>โรงพยาบาลกรุงเทพ หัวหิน</x:v>
      </x:c>
      <x:c r="H317" t="str">
        <x:v>เช่ายืม</x:v>
      </x:c>
      <x:c r="I317" t="str">
        <x:v>พร้อมส่ง</x:v>
      </x:c>
      <x:c r="J317" t="str">
        <x:v>เช่ายืม</x:v>
      </x:c>
      <x:c r="K317" t="str">
        <x:v>อยู่ระหว่างเช่ายืม / เกินกำหนดคืน 73 วัน</x:v>
      </x:c>
      <x:c r="L317"/>
      <x:c r="M317" t="str">
        <x:f>IF(OR(H317="ใช้งานไม่ได้",H317="BROKEN",H317="Broken"),"ใช้งานไม่ได้",IF(OR(H317="ไม่พบในรายการ",H317="MISSING",H317="Missing"),"ไม่พบในรายการ",IF(OR(J317="เช่ายืม",J317="IN_USE",J317="IN-USE",H317="เช่ายืม"),"เช่ายืม",IF(H317="พร้อมส่ง","พร้อมส่ง","รอสอบเทียบ"))))</x:f>
        <x:v>เช่ายืม</x:v>
      </x:c>
    </x:row>
    <x:row r="318">
      <x:c r="A318" t="str">
        <x:v>39499</x:v>
      </x:c>
      <x:c r="B318" t="str">
        <x:v>39499</x:v>
      </x:c>
      <x:c r="C318" t="str">
        <x:v>B.Braun</x:v>
      </x:c>
      <x:c r="D318" t="str">
        <x:v>Spaceplus</x:v>
      </x:c>
      <x:c r="E318" t="str">
        <x:v>Spaceplus</x:v>
      </x:c>
      <x:c r="F318" t="str">
        <x:v>BBRAUN_SPACEPLUS</x:v>
      </x:c>
      <x:c r="G318" t="str">
        <x:v>STH</x:v>
      </x:c>
      <x:c r="H318" t="str">
        <x:v>เช่ายืม</x:v>
      </x:c>
      <x:c r="I318" t="str">
        <x:v>พร้อมส่ง</x:v>
      </x:c>
      <x:c r="J318" t="str">
        <x:v>เช่ายืม</x:v>
      </x:c>
      <x:c r="K318" t="str">
        <x:v>อยู่ระหว่างเช่ายืม / เกินกำหนดคืน 106 วัน</x:v>
      </x:c>
      <x:c r="L318"/>
      <x:c r="M318" t="str">
        <x:f>IF(OR(H318="ใช้งานไม่ได้",H318="BROKEN",H318="Broken"),"ใช้งานไม่ได้",IF(OR(H318="ไม่พบในรายการ",H318="MISSING",H318="Missing"),"ไม่พบในรายการ",IF(OR(J318="เช่ายืม",J318="IN_USE",J318="IN-USE",H318="เช่ายืม"),"เช่ายืม",IF(H318="พร้อมส่ง","พร้อมส่ง","รอสอบเทียบ"))))</x:f>
        <x:v>เช่ายืม</x:v>
      </x:c>
    </x:row>
    <x:row r="319">
      <x:c r="A319" t="str">
        <x:v>39500</x:v>
      </x:c>
      <x:c r="B319" t="str">
        <x:v>39500</x:v>
      </x:c>
      <x:c r="C319" t="str">
        <x:v>B.Braun</x:v>
      </x:c>
      <x:c r="D319" t="str">
        <x:v>Spaceplus</x:v>
      </x:c>
      <x:c r="E319" t="str">
        <x:v>Spaceplus</x:v>
      </x:c>
      <x:c r="F319" t="str">
        <x:v>BBRAUN_SPACEPLUS</x:v>
      </x:c>
      <x:c r="G319" t="str">
        <x:v>CES-BPL</x:v>
      </x:c>
      <x:c r="H319" t="str">
        <x:v>เช่ายืม</x:v>
      </x:c>
      <x:c r="I319" t="str">
        <x:v>พร้อมส่ง</x:v>
      </x:c>
      <x:c r="J319" t="str">
        <x:v>เช่ายืม</x:v>
      </x:c>
      <x:c r="K319" t="str">
        <x:v>อยู่ระหว่างเช่ายืม / เกินกำหนดคืน 88 วัน</x:v>
      </x:c>
      <x:c r="L319"/>
      <x:c r="M319" t="str">
        <x:f>IF(OR(H319="ใช้งานไม่ได้",H319="BROKEN",H319="Broken"),"ใช้งานไม่ได้",IF(OR(H319="ไม่พบในรายการ",H319="MISSING",H319="Missing"),"ไม่พบในรายการ",IF(OR(J319="เช่ายืม",J319="IN_USE",J319="IN-USE",H319="เช่ายืม"),"เช่ายืม",IF(H319="พร้อมส่ง","พร้อมส่ง","รอสอบเทียบ"))))</x:f>
        <x:v>เช่ายืม</x:v>
      </x:c>
    </x:row>
    <x:row r="320">
      <x:c r="A320" t="str">
        <x:v>39502</x:v>
      </x:c>
      <x:c r="B320" t="str">
        <x:v>39502</x:v>
      </x:c>
      <x:c r="C320" t="str">
        <x:v>B.Braun</x:v>
      </x:c>
      <x:c r="D320" t="str">
        <x:v>Spaceplus</x:v>
      </x:c>
      <x:c r="E320" t="str">
        <x:v>Spaceplus</x:v>
      </x:c>
      <x:c r="F320" t="str">
        <x:v>BBRAUN_SPACEPLUS</x:v>
      </x:c>
      <x:c r="G320" t="str">
        <x:v>โรงพยาบาลกรุงเทพ หัวหิน</x:v>
      </x:c>
      <x:c r="H320" t="str">
        <x:v>เช่ายืม</x:v>
      </x:c>
      <x:c r="I320" t="str">
        <x:v>พร้อมส่ง</x:v>
      </x:c>
      <x:c r="J320" t="str">
        <x:v>เช่ายืม</x:v>
      </x:c>
      <x:c r="K320" t="str">
        <x:v>อยู่ระหว่างเช่ายืม / เกินกำหนดคืน 73 วัน</x:v>
      </x:c>
      <x:c r="L320"/>
      <x:c r="M320" t="str">
        <x:f>IF(OR(H320="ใช้งานไม่ได้",H320="BROKEN",H320="Broken"),"ใช้งานไม่ได้",IF(OR(H320="ไม่พบในรายการ",H320="MISSING",H320="Missing"),"ไม่พบในรายการ",IF(OR(J320="เช่ายืม",J320="IN_USE",J320="IN-USE",H320="เช่ายืม"),"เช่ายืม",IF(H320="พร้อมส่ง","พร้อมส่ง","รอสอบเทียบ"))))</x:f>
        <x:v>เช่ายืม</x:v>
      </x:c>
    </x:row>
    <x:row r="321">
      <x:c r="A321" t="str">
        <x:v>49889</x:v>
      </x:c>
      <x:c r="B321" t="str">
        <x:v>49889</x:v>
      </x:c>
      <x:c r="C321" t="str">
        <x:v>B.Braun</x:v>
      </x:c>
      <x:c r="D321" t="str">
        <x:v>Spaceplus</x:v>
      </x:c>
      <x:c r="E321" t="str">
        <x:v>Spaceplus</x:v>
      </x:c>
      <x:c r="F321" t="str">
        <x:v>BBRAUN_SPACEPLUS</x:v>
      </x:c>
      <x:c r="G321" t="str">
        <x:v>CES-BCM</x:v>
      </x:c>
      <x:c r="H321" t="str">
        <x:v>เช่ายืม</x:v>
      </x:c>
      <x:c r="I321" t="str">
        <x:v>พร้อมส่ง</x:v>
      </x:c>
      <x:c r="J321" t="str">
        <x:v>เช่ายืม</x:v>
      </x:c>
      <x:c r="K321" t="str">
        <x:v>อยู่ระหว่างเช่ายืม / เกินกำหนดคืน 88 วัน</x:v>
      </x:c>
      <x:c r="L321"/>
      <x:c r="M321" t="str">
        <x:f>IF(OR(H321="ใช้งานไม่ได้",H321="BROKEN",H321="Broken"),"ใช้งานไม่ได้",IF(OR(H321="ไม่พบในรายการ",H321="MISSING",H321="Missing"),"ไม่พบในรายการ",IF(OR(J321="เช่ายืม",J321="IN_USE",J321="IN-USE",H321="เช่ายืม"),"เช่ายืม",IF(H321="พร้อมส่ง","พร้อมส่ง","รอสอบเทียบ"))))</x:f>
        <x:v>เช่ายืม</x:v>
      </x:c>
    </x:row>
    <x:row r="322">
      <x:c r="A322" t="str">
        <x:v>52885</x:v>
      </x:c>
      <x:c r="B322" t="str">
        <x:v>52885</x:v>
      </x:c>
      <x:c r="C322" t="str">
        <x:v>B.Braun</x:v>
      </x:c>
      <x:c r="D322" t="str">
        <x:v>Spaceplus</x:v>
      </x:c>
      <x:c r="E322" t="str">
        <x:v>Spaceplus</x:v>
      </x:c>
      <x:c r="F322" t="str">
        <x:v>BBRAUN_SPACEPLUS</x:v>
      </x:c>
      <x:c r="G322" t="str">
        <x:v>โรงพยาบาลกรุงเทพ หัวหิน</x:v>
      </x:c>
      <x:c r="H322" t="str">
        <x:v>เช่ายืม</x:v>
      </x:c>
      <x:c r="I322" t="str">
        <x:v>พร้อมส่ง</x:v>
      </x:c>
      <x:c r="J322" t="str">
        <x:v>เช่ายืม</x:v>
      </x:c>
      <x:c r="K322" t="str">
        <x:v>อยู่ระหว่างเช่ายืม / เกินกำหนดคืน 73 วัน</x:v>
      </x:c>
      <x:c r="L322"/>
      <x:c r="M322" t="str">
        <x:f>IF(OR(H322="ใช้งานไม่ได้",H322="BROKEN",H322="Broken"),"ใช้งานไม่ได้",IF(OR(H322="ไม่พบในรายการ",H322="MISSING",H322="Missing"),"ไม่พบในรายการ",IF(OR(J322="เช่ายืม",J322="IN_USE",J322="IN-USE",H322="เช่ายืม"),"เช่ายืม",IF(H322="พร้อมส่ง","พร้อมส่ง","รอสอบเทียบ"))))</x:f>
        <x:v>เช่ายืม</x:v>
      </x:c>
    </x:row>
    <x:row r="323">
      <x:c r="A323" t="str">
        <x:v>52887</x:v>
      </x:c>
      <x:c r="B323" t="str">
        <x:v>52887</x:v>
      </x:c>
      <x:c r="C323" t="str">
        <x:v>B.Braun</x:v>
      </x:c>
      <x:c r="D323" t="str">
        <x:v>Spaceplus</x:v>
      </x:c>
      <x:c r="E323" t="str">
        <x:v>Spaceplus</x:v>
      </x:c>
      <x:c r="F323" t="str">
        <x:v>BBRAUN_SPACEPLUS</x:v>
      </x:c>
      <x:c r="G323" t="str">
        <x:v>โรงพยาบาลกรุงเทพ หัวหิน</x:v>
      </x:c>
      <x:c r="H323" t="str">
        <x:v>เช่ายืม</x:v>
      </x:c>
      <x:c r="I323" t="str">
        <x:v>พร้อมส่ง</x:v>
      </x:c>
      <x:c r="J323" t="str">
        <x:v>เช่ายืม</x:v>
      </x:c>
      <x:c r="K323" t="str">
        <x:v>อยู่ระหว่างเช่ายืม / เกินกำหนดคืน 73 วัน</x:v>
      </x:c>
      <x:c r="L323"/>
      <x:c r="M323" t="str">
        <x:f>IF(OR(H323="ใช้งานไม่ได้",H323="BROKEN",H323="Broken"),"ใช้งานไม่ได้",IF(OR(H323="ไม่พบในรายการ",H323="MISSING",H323="Missing"),"ไม่พบในรายการ",IF(OR(J323="เช่ายืม",J323="IN_USE",J323="IN-USE",H323="เช่ายืม"),"เช่ายืม",IF(H323="พร้อมส่ง","พร้อมส่ง","รอสอบเทียบ"))))</x:f>
        <x:v>เช่ายืม</x:v>
      </x:c>
    </x:row>
    <x:row r="324">
      <x:c r="A324" t="str">
        <x:v>52897</x:v>
      </x:c>
      <x:c r="B324" t="str">
        <x:v>52897</x:v>
      </x:c>
      <x:c r="C324" t="str">
        <x:v>B.Braun</x:v>
      </x:c>
      <x:c r="D324" t="str">
        <x:v>Spaceplus</x:v>
      </x:c>
      <x:c r="E324" t="str">
        <x:v>Spaceplus</x:v>
      </x:c>
      <x:c r="F324" t="str">
        <x:v>BBRAUN_SPACEPLUS</x:v>
      </x:c>
      <x:c r="G324" t="str">
        <x:v>CES-BCM</x:v>
      </x:c>
      <x:c r="H324" t="str">
        <x:v>เช่ายืม</x:v>
      </x:c>
      <x:c r="I324" t="str">
        <x:v>พร้อมส่ง</x:v>
      </x:c>
      <x:c r="J324" t="str">
        <x:v>เช่ายืม</x:v>
      </x:c>
      <x:c r="K324" t="str">
        <x:v>อยู่ระหว่างเช่ายืม / เกินกำหนดคืน 88 วัน</x:v>
      </x:c>
      <x:c r="L324"/>
      <x:c r="M324" t="str">
        <x:f>IF(OR(H324="ใช้งานไม่ได้",H324="BROKEN",H324="Broken"),"ใช้งานไม่ได้",IF(OR(H324="ไม่พบในรายการ",H324="MISSING",H324="Missing"),"ไม่พบในรายการ",IF(OR(J324="เช่ายืม",J324="IN_USE",J324="IN-USE",H324="เช่ายืม"),"เช่ายืม",IF(H324="พร้อมส่ง","พร้อมส่ง","รอสอบเทียบ"))))</x:f>
        <x:v>เช่ายืม</x:v>
      </x:c>
    </x:row>
    <x:row r="325">
      <x:c r="A325" t="str">
        <x:v>52916</x:v>
      </x:c>
      <x:c r="B325" t="str">
        <x:v>52916</x:v>
      </x:c>
      <x:c r="C325" t="str">
        <x:v>B.Braun</x:v>
      </x:c>
      <x:c r="D325" t="str">
        <x:v>Spaceplus</x:v>
      </x:c>
      <x:c r="E325" t="str">
        <x:v>Spaceplus</x:v>
      </x:c>
      <x:c r="F325" t="str">
        <x:v>BBRAUN_SPACEPLUS</x:v>
      </x:c>
      <x:c r="G325" t="str">
        <x:v>CES-BPL</x:v>
      </x:c>
      <x:c r="H325" t="str">
        <x:v>เช่ายืม</x:v>
      </x:c>
      <x:c r="I325" t="str">
        <x:v>พร้อมส่ง</x:v>
      </x:c>
      <x:c r="J325" t="str">
        <x:v>เช่ายืม</x:v>
      </x:c>
      <x:c r="K325" t="str">
        <x:v>อยู่ระหว่างเช่ายืม / เกินกำหนดคืน 88 วัน</x:v>
      </x:c>
      <x:c r="L325"/>
      <x:c r="M325" t="str">
        <x:f>IF(OR(H325="ใช้งานไม่ได้",H325="BROKEN",H325="Broken"),"ใช้งานไม่ได้",IF(OR(H325="ไม่พบในรายการ",H325="MISSING",H325="Missing"),"ไม่พบในรายการ",IF(OR(J325="เช่ายืม",J325="IN_USE",J325="IN-USE",H325="เช่ายืม"),"เช่ายืม",IF(H325="พร้อมส่ง","พร้อมส่ง","รอสอบเทียบ"))))</x:f>
        <x:v>เช่ายืม</x:v>
      </x:c>
    </x:row>
    <x:row r="326">
      <x:c r="A326" t="str">
        <x:v>52927</x:v>
      </x:c>
      <x:c r="B326" t="str">
        <x:v>52927</x:v>
      </x:c>
      <x:c r="C326" t="str">
        <x:v>B.Braun</x:v>
      </x:c>
      <x:c r="D326" t="str">
        <x:v>Spaceplus</x:v>
      </x:c>
      <x:c r="E326" t="str">
        <x:v>Spaceplus</x:v>
      </x:c>
      <x:c r="F326" t="str">
        <x:v>BBRAUN_SPACEPLUS</x:v>
      </x:c>
      <x:c r="G326" t="str">
        <x:v>CES-BCM</x:v>
      </x:c>
      <x:c r="H326" t="str">
        <x:v>เช่ายืม</x:v>
      </x:c>
      <x:c r="I326" t="str">
        <x:v>พร้อมส่ง</x:v>
      </x:c>
      <x:c r="J326" t="str">
        <x:v>เช่ายืม</x:v>
      </x:c>
      <x:c r="K326" t="str">
        <x:v>อยู่ระหว่างเช่ายืม / เกินกำหนดคืน 88 วัน</x:v>
      </x:c>
      <x:c r="L326"/>
      <x:c r="M326" t="str">
        <x:f>IF(OR(H326="ใช้งานไม่ได้",H326="BROKEN",H326="Broken"),"ใช้งานไม่ได้",IF(OR(H326="ไม่พบในรายการ",H326="MISSING",H326="Missing"),"ไม่พบในรายการ",IF(OR(J326="เช่ายืม",J326="IN_USE",J326="IN-USE",H326="เช่ายืม"),"เช่ายืม",IF(H326="พร้อมส่ง","พร้อมส่ง","รอสอบเทียบ"))))</x:f>
        <x:v>เช่ายืม</x:v>
      </x:c>
    </x:row>
    <x:row r="327">
      <x:c r="A327" t="str">
        <x:v>52943</x:v>
      </x:c>
      <x:c r="B327" t="str">
        <x:v>52943</x:v>
      </x:c>
      <x:c r="C327" t="str">
        <x:v>B.Braun</x:v>
      </x:c>
      <x:c r="D327" t="str">
        <x:v>Spaceplus</x:v>
      </x:c>
      <x:c r="E327" t="str">
        <x:v>Spaceplus</x:v>
      </x:c>
      <x:c r="F327" t="str">
        <x:v>BBRAUN_SPACEPLUS</x:v>
      </x:c>
      <x:c r="G327" t="str">
        <x:v>โรงพยาบาลกรุงเทพ หัวหิน</x:v>
      </x:c>
      <x:c r="H327" t="str">
        <x:v>เช่ายืม</x:v>
      </x:c>
      <x:c r="I327" t="str">
        <x:v>พร้อมส่ง</x:v>
      </x:c>
      <x:c r="J327" t="str">
        <x:v>เช่ายืม</x:v>
      </x:c>
      <x:c r="K327" t="str">
        <x:v>อยู่ระหว่างเช่ายืม / เกินกำหนดคืน 73 วัน</x:v>
      </x:c>
      <x:c r="L327"/>
      <x:c r="M327" t="str">
        <x:f>IF(OR(H327="ใช้งานไม่ได้",H327="BROKEN",H327="Broken"),"ใช้งานไม่ได้",IF(OR(H327="ไม่พบในรายการ",H327="MISSING",H327="Missing"),"ไม่พบในรายการ",IF(OR(J327="เช่ายืม",J327="IN_USE",J327="IN-USE",H327="เช่ายืม"),"เช่ายืม",IF(H327="พร้อมส่ง","พร้อมส่ง","รอสอบเทียบ"))))</x:f>
        <x:v>เช่ายืม</x:v>
      </x:c>
    </x:row>
    <x:row r="328">
      <x:c r="A328" t="str">
        <x:v>52954</x:v>
      </x:c>
      <x:c r="B328" t="str">
        <x:v>52954</x:v>
      </x:c>
      <x:c r="C328" t="str">
        <x:v>B.Braun</x:v>
      </x:c>
      <x:c r="D328" t="str">
        <x:v>Spaceplus</x:v>
      </x:c>
      <x:c r="E328" t="str">
        <x:v>Spaceplus</x:v>
      </x:c>
      <x:c r="F328" t="str">
        <x:v>BBRAUN_SPACEPLUS</x:v>
      </x:c>
      <x:c r="G328" t="str">
        <x:v>โรงพยาบาลกรุงเทพ หัวหิน</x:v>
      </x:c>
      <x:c r="H328" t="str">
        <x:v>เช่ายืม</x:v>
      </x:c>
      <x:c r="I328" t="str">
        <x:v>พร้อมส่ง</x:v>
      </x:c>
      <x:c r="J328" t="str">
        <x:v>เช่ายืม</x:v>
      </x:c>
      <x:c r="K328" t="str">
        <x:v>อยู่ระหว่างเช่ายืม / เกินกำหนดคืน 73 วัน</x:v>
      </x:c>
      <x:c r="L328"/>
      <x:c r="M328" t="str">
        <x:f>IF(OR(H328="ใช้งานไม่ได้",H328="BROKEN",H328="Broken"),"ใช้งานไม่ได้",IF(OR(H328="ไม่พบในรายการ",H328="MISSING",H328="Missing"),"ไม่พบในรายการ",IF(OR(J328="เช่ายืม",J328="IN_USE",J328="IN-USE",H328="เช่ายืม"),"เช่ายืม",IF(H328="พร้อมส่ง","พร้อมส่ง","รอสอบเทียบ"))))</x:f>
        <x:v>เช่ายืม</x:v>
      </x:c>
    </x:row>
    <x:row r="329">
      <x:c r="A329" t="str">
        <x:v>52959</x:v>
      </x:c>
      <x:c r="B329" t="str">
        <x:v>52959</x:v>
      </x:c>
      <x:c r="C329" t="str">
        <x:v>B.Braun</x:v>
      </x:c>
      <x:c r="D329" t="str">
        <x:v>Spaceplus</x:v>
      </x:c>
      <x:c r="E329" t="str">
        <x:v>Spaceplus</x:v>
      </x:c>
      <x:c r="F329" t="str">
        <x:v>BBRAUN_SPACEPLUS</x:v>
      </x:c>
      <x:c r="G329" t="str">
        <x:v>CES-BCM</x:v>
      </x:c>
      <x:c r="H329" t="str">
        <x:v>เช่ายืม</x:v>
      </x:c>
      <x:c r="I329" t="str">
        <x:v>พร้อมส่ง</x:v>
      </x:c>
      <x:c r="J329" t="str">
        <x:v>เช่ายืม</x:v>
      </x:c>
      <x:c r="K329" t="str">
        <x:v>อยู่ระหว่างเช่ายืม / เกินกำหนดคืน 88 วัน</x:v>
      </x:c>
      <x:c r="L329"/>
      <x:c r="M329" t="str">
        <x:f>IF(OR(H329="ใช้งานไม่ได้",H329="BROKEN",H329="Broken"),"ใช้งานไม่ได้",IF(OR(H329="ไม่พบในรายการ",H329="MISSING",H329="Missing"),"ไม่พบในรายการ",IF(OR(J329="เช่ายืม",J329="IN_USE",J329="IN-USE",H329="เช่ายืม"),"เช่ายืม",IF(H329="พร้อมส่ง","พร้อมส่ง","รอสอบเทียบ"))))</x:f>
        <x:v>เช่ายืม</x:v>
      </x:c>
    </x:row>
    <x:row r="330">
      <x:c r="A330" t="str">
        <x:v>52978</x:v>
      </x:c>
      <x:c r="B330" t="str">
        <x:v>52978</x:v>
      </x:c>
      <x:c r="C330" t="str">
        <x:v>B.Braun</x:v>
      </x:c>
      <x:c r="D330" t="str">
        <x:v>Spaceplus</x:v>
      </x:c>
      <x:c r="E330" t="str">
        <x:v>Spaceplus</x:v>
      </x:c>
      <x:c r="F330" t="str">
        <x:v>BBRAUN_SPACEPLUS</x:v>
      </x:c>
      <x:c r="G330" t="str">
        <x:v>CES-BCM</x:v>
      </x:c>
      <x:c r="H330" t="str">
        <x:v>เช่ายืม</x:v>
      </x:c>
      <x:c r="I330" t="str">
        <x:v>พร้อมส่ง</x:v>
      </x:c>
      <x:c r="J330" t="str">
        <x:v>เช่ายืม</x:v>
      </x:c>
      <x:c r="K330" t="str">
        <x:v>อยู่ระหว่างเช่ายืม / เกินกำหนดคืน 88 วัน</x:v>
      </x:c>
      <x:c r="L330"/>
      <x:c r="M330" t="str">
        <x:f>IF(OR(H330="ใช้งานไม่ได้",H330="BROKEN",H330="Broken"),"ใช้งานไม่ได้",IF(OR(H330="ไม่พบในรายการ",H330="MISSING",H330="Missing"),"ไม่พบในรายการ",IF(OR(J330="เช่ายืม",J330="IN_USE",J330="IN-USE",H330="เช่ายืม"),"เช่ายืม",IF(H330="พร้อมส่ง","พร้อมส่ง","รอสอบเทียบ"))))</x:f>
        <x:v>เช่ายืม</x:v>
      </x:c>
    </x:row>
    <x:row r="331">
      <x:c r="A331" t="str">
        <x:v>52984</x:v>
      </x:c>
      <x:c r="B331" t="str">
        <x:v>52984</x:v>
      </x:c>
      <x:c r="C331" t="str">
        <x:v>B.Braun</x:v>
      </x:c>
      <x:c r="D331" t="str">
        <x:v>Spaceplus</x:v>
      </x:c>
      <x:c r="E331" t="str">
        <x:v>Spaceplus</x:v>
      </x:c>
      <x:c r="F331" t="str">
        <x:v>BBRAUN_SPACEPLUS</x:v>
      </x:c>
      <x:c r="G331" t="str">
        <x:v>CES-BPL</x:v>
      </x:c>
      <x:c r="H331" t="str">
        <x:v>เช่ายืม</x:v>
      </x:c>
      <x:c r="I331" t="str">
        <x:v>พร้อมส่ง</x:v>
      </x:c>
      <x:c r="J331" t="str">
        <x:v>เช่ายืม</x:v>
      </x:c>
      <x:c r="K331" t="str">
        <x:v>อยู่ระหว่างเช่ายืม / เกินกำหนดคืน 88 วัน</x:v>
      </x:c>
      <x:c r="L331"/>
      <x:c r="M331" t="str">
        <x:f>IF(OR(H331="ใช้งานไม่ได้",H331="BROKEN",H331="Broken"),"ใช้งานไม่ได้",IF(OR(H331="ไม่พบในรายการ",H331="MISSING",H331="Missing"),"ไม่พบในรายการ",IF(OR(J331="เช่ายืม",J331="IN_USE",J331="IN-USE",H331="เช่ายืม"),"เช่ายืม",IF(H331="พร้อมส่ง","พร้อมส่ง","รอสอบเทียบ"))))</x:f>
        <x:v>เช่ายืม</x:v>
      </x:c>
    </x:row>
    <x:row r="332">
      <x:c r="A332" t="str">
        <x:v>52988</x:v>
      </x:c>
      <x:c r="B332" t="str">
        <x:v>52988</x:v>
      </x:c>
      <x:c r="C332" t="str">
        <x:v>B.Braun</x:v>
      </x:c>
      <x:c r="D332" t="str">
        <x:v>Spaceplus</x:v>
      </x:c>
      <x:c r="E332" t="str">
        <x:v>Spaceplus</x:v>
      </x:c>
      <x:c r="F332" t="str">
        <x:v>BBRAUN_SPACEPLUS</x:v>
      </x:c>
      <x:c r="G332" t="str">
        <x:v>CES-BCM</x:v>
      </x:c>
      <x:c r="H332" t="str">
        <x:v>เช่ายืม</x:v>
      </x:c>
      <x:c r="I332" t="str">
        <x:v>พร้อมส่ง</x:v>
      </x:c>
      <x:c r="J332" t="str">
        <x:v>เช่ายืม</x:v>
      </x:c>
      <x:c r="K332" t="str">
        <x:v>อยู่ระหว่างเช่ายืม / เกินกำหนดคืน 88 วัน</x:v>
      </x:c>
      <x:c r="L332"/>
      <x:c r="M332" t="str">
        <x:f>IF(OR(H332="ใช้งานไม่ได้",H332="BROKEN",H332="Broken"),"ใช้งานไม่ได้",IF(OR(H332="ไม่พบในรายการ",H332="MISSING",H332="Missing"),"ไม่พบในรายการ",IF(OR(J332="เช่ายืม",J332="IN_USE",J332="IN-USE",H332="เช่ายืม"),"เช่ายืม",IF(H332="พร้อมส่ง","พร้อมส่ง","รอสอบเทียบ"))))</x:f>
        <x:v>เช่ายืม</x:v>
      </x:c>
    </x:row>
    <x:row r="333">
      <x:c r="A333" t="str">
        <x:v>52989</x:v>
      </x:c>
      <x:c r="B333" t="str">
        <x:v>52989</x:v>
      </x:c>
      <x:c r="C333" t="str">
        <x:v>B.Braun</x:v>
      </x:c>
      <x:c r="D333" t="str">
        <x:v>Spaceplus</x:v>
      </x:c>
      <x:c r="E333" t="str">
        <x:v>Spaceplus</x:v>
      </x:c>
      <x:c r="F333" t="str">
        <x:v>BBRAUN_SPACEPLUS</x:v>
      </x:c>
      <x:c r="G333" t="str">
        <x:v>CES-BPL</x:v>
      </x:c>
      <x:c r="H333" t="str">
        <x:v>เช่ายืม</x:v>
      </x:c>
      <x:c r="I333" t="str">
        <x:v>พร้อมส่ง</x:v>
      </x:c>
      <x:c r="J333" t="str">
        <x:v>เช่ายืม</x:v>
      </x:c>
      <x:c r="K333" t="str">
        <x:v>อยู่ระหว่างเช่ายืม / เกินกำหนดคืน 88 วัน</x:v>
      </x:c>
      <x:c r="L333"/>
      <x:c r="M333" t="str">
        <x:f>IF(OR(H333="ใช้งานไม่ได้",H333="BROKEN",H333="Broken"),"ใช้งานไม่ได้",IF(OR(H333="ไม่พบในรายการ",H333="MISSING",H333="Missing"),"ไม่พบในรายการ",IF(OR(J333="เช่ายืม",J333="IN_USE",J333="IN-USE",H333="เช่ายืม"),"เช่ายืม",IF(H333="พร้อมส่ง","พร้อมส่ง","รอสอบเทียบ"))))</x:f>
        <x:v>เช่ายืม</x:v>
      </x:c>
    </x:row>
    <x:row r="334">
      <x:c r="A334" t="str">
        <x:v>53017</x:v>
      </x:c>
      <x:c r="B334" t="str">
        <x:v>53017</x:v>
      </x:c>
      <x:c r="C334" t="str">
        <x:v>B.Braun</x:v>
      </x:c>
      <x:c r="D334" t="str">
        <x:v>Spaceplus</x:v>
      </x:c>
      <x:c r="E334" t="str">
        <x:v>Spaceplus</x:v>
      </x:c>
      <x:c r="F334" t="str">
        <x:v>BBRAUN_SPACEPLUS</x:v>
      </x:c>
      <x:c r="G334" t="str">
        <x:v>CES-BCM</x:v>
      </x:c>
      <x:c r="H334" t="str">
        <x:v>เช่ายืม</x:v>
      </x:c>
      <x:c r="I334" t="str">
        <x:v>พร้อมส่ง</x:v>
      </x:c>
      <x:c r="J334" t="str">
        <x:v>เช่ายืม</x:v>
      </x:c>
      <x:c r="K334" t="str">
        <x:v>อยู่ระหว่างเช่ายืม / เกินกำหนดคืน 88 วัน</x:v>
      </x:c>
      <x:c r="L334"/>
      <x:c r="M334" t="str">
        <x:f>IF(OR(H334="ใช้งานไม่ได้",H334="BROKEN",H334="Broken"),"ใช้งานไม่ได้",IF(OR(H334="ไม่พบในรายการ",H334="MISSING",H334="Missing"),"ไม่พบในรายการ",IF(OR(J334="เช่ายืม",J334="IN_USE",J334="IN-USE",H334="เช่ายืม"),"เช่ายืม",IF(H334="พร้อมส่ง","พร้อมส่ง","รอสอบเทียบ"))))</x:f>
        <x:v>เช่ายืม</x:v>
      </x:c>
    </x:row>
    <x:row r="335">
      <x:c r="A335" t="str">
        <x:v>53023</x:v>
      </x:c>
      <x:c r="B335" t="str">
        <x:v>53023</x:v>
      </x:c>
      <x:c r="C335" t="str">
        <x:v>B.Braun</x:v>
      </x:c>
      <x:c r="D335" t="str">
        <x:v>Spaceplus</x:v>
      </x:c>
      <x:c r="E335" t="str">
        <x:v>Spaceplus</x:v>
      </x:c>
      <x:c r="F335" t="str">
        <x:v>BBRAUN_SPACEPLUS</x:v>
      </x:c>
      <x:c r="G335" t="str">
        <x:v>CES-BCM</x:v>
      </x:c>
      <x:c r="H335" t="str">
        <x:v>เช่ายืม</x:v>
      </x:c>
      <x:c r="I335" t="str">
        <x:v>พร้อมส่ง</x:v>
      </x:c>
      <x:c r="J335" t="str">
        <x:v>เช่ายืม</x:v>
      </x:c>
      <x:c r="K335" t="str">
        <x:v>อยู่ระหว่างเช่ายืม / เกินกำหนดคืน 88 วัน</x:v>
      </x:c>
      <x:c r="L335"/>
      <x:c r="M335" t="str">
        <x:f>IF(OR(H335="ใช้งานไม่ได้",H335="BROKEN",H335="Broken"),"ใช้งานไม่ได้",IF(OR(H335="ไม่พบในรายการ",H335="MISSING",H335="Missing"),"ไม่พบในรายการ",IF(OR(J335="เช่ายืม",J335="IN_USE",J335="IN-USE",H335="เช่ายืม"),"เช่ายืม",IF(H335="พร้อมส่ง","พร้อมส่ง","รอสอบเทียบ"))))</x:f>
        <x:v>เช่ายืม</x:v>
      </x:c>
    </x:row>
    <x:row r="336">
      <x:c r="A336" t="str">
        <x:v>53060</x:v>
      </x:c>
      <x:c r="B336" t="str">
        <x:v>53060</x:v>
      </x:c>
      <x:c r="C336" t="str">
        <x:v>B.Braun</x:v>
      </x:c>
      <x:c r="D336" t="str">
        <x:v>Spaceplus</x:v>
      </x:c>
      <x:c r="E336" t="str">
        <x:v>Spaceplus</x:v>
      </x:c>
      <x:c r="F336" t="str">
        <x:v>BBRAUN_SPACEPLUS</x:v>
      </x:c>
      <x:c r="G336" t="str">
        <x:v>CES-BCM</x:v>
      </x:c>
      <x:c r="H336" t="str">
        <x:v>เช่ายืม</x:v>
      </x:c>
      <x:c r="I336" t="str">
        <x:v>พร้อมส่ง</x:v>
      </x:c>
      <x:c r="J336" t="str">
        <x:v>เช่ายืม</x:v>
      </x:c>
      <x:c r="K336" t="str">
        <x:v>อยู่ระหว่างเช่ายืม / เกินกำหนดคืน 88 วัน</x:v>
      </x:c>
      <x:c r="L336"/>
      <x:c r="M336" t="str">
        <x:f>IF(OR(H336="ใช้งานไม่ได้",H336="BROKEN",H336="Broken"),"ใช้งานไม่ได้",IF(OR(H336="ไม่พบในรายการ",H336="MISSING",H336="Missing"),"ไม่พบในรายการ",IF(OR(J336="เช่ายืม",J336="IN_USE",J336="IN-USE",H336="เช่ายืม"),"เช่ายืม",IF(H336="พร้อมส่ง","พร้อมส่ง","รอสอบเทียบ"))))</x:f>
        <x:v>เช่ายืม</x:v>
      </x:c>
    </x:row>
    <x:row r="337">
      <x:c r="A337" t="str">
        <x:v>53213</x:v>
      </x:c>
      <x:c r="B337" t="str">
        <x:v>53213</x:v>
      </x:c>
      <x:c r="C337" t="str">
        <x:v>B.Braun</x:v>
      </x:c>
      <x:c r="D337" t="str">
        <x:v>Spaceplus</x:v>
      </x:c>
      <x:c r="E337" t="str">
        <x:v>Spaceplus</x:v>
      </x:c>
      <x:c r="F337" t="str">
        <x:v>BBRAUN_SPACEPLUS</x:v>
      </x:c>
      <x:c r="G337" t="str">
        <x:v>CES-BPL</x:v>
      </x:c>
      <x:c r="H337" t="str">
        <x:v>เช่ายืม</x:v>
      </x:c>
      <x:c r="I337" t="str">
        <x:v>พร้อมส่ง</x:v>
      </x:c>
      <x:c r="J337" t="str">
        <x:v>เช่ายืม</x:v>
      </x:c>
      <x:c r="K337" t="str">
        <x:v>อยู่ระหว่างเช่ายืม / เกินกำหนดคืน 88 วัน</x:v>
      </x:c>
      <x:c r="L337"/>
      <x:c r="M337" t="str">
        <x:f>IF(OR(H337="ใช้งานไม่ได้",H337="BROKEN",H337="Broken"),"ใช้งานไม่ได้",IF(OR(H337="ไม่พบในรายการ",H337="MISSING",H337="Missing"),"ไม่พบในรายการ",IF(OR(J337="เช่ายืม",J337="IN_USE",J337="IN-USE",H337="เช่ายืม"),"เช่ายืม",IF(H337="พร้อมส่ง","พร้อมส่ง","รอสอบเทียบ"))))</x:f>
        <x:v>เช่ายืม</x:v>
      </x:c>
    </x:row>
    <x:row r="338">
      <x:c r="A338" t="str">
        <x:v>SN_21123050052</x:v>
      </x:c>
      <x:c r="B338" t="str">
        <x:v>21123050052</x:v>
      </x:c>
      <x:c r="C338" t="str">
        <x:v>BYOND</x:v>
      </x:c>
      <x:c r="D338" t="str">
        <x:v>Sunfusion Semi-2</x:v>
      </x:c>
      <x:c r="E338" t="str">
        <x:v>Sunfusion Semi-2</x:v>
      </x:c>
      <x:c r="F338" t="str">
        <x:v>BYOND_PUMP</x:v>
      </x:c>
      <x:c r="G338" t="str">
        <x:v>Warehouse</x:v>
      </x:c>
      <x:c r="H338" t="str">
        <x:v>รอสอบเทียบ</x:v>
      </x:c>
      <x:c r="I338" t="str">
        <x:v>รอสอบเทียบ</x:v>
      </x:c>
      <x:c r="J338" t="str">
        <x:v>ไม่มีสัญญา</x:v>
      </x:c>
      <x:c r="K338" t="str">
        <x:v>รอสอบเทียบก่อนพร้อมส่ง</x:v>
      </x:c>
      <x:c r="L338" t="str">
        <x:v>ไม่ได้เช่ายืม = รอสอบเทียบ</x:v>
      </x:c>
      <x:c r="M338" t="str">
        <x:f>IF(OR(H338="ใช้งานไม่ได้",H338="BROKEN",H338="Broken"),"ใช้งานไม่ได้",IF(OR(H338="ไม่พบในรายการ",H338="MISSING",H338="Missing"),"ไม่พบในรายการ",IF(OR(J338="เช่ายืม",J338="IN_USE",J338="IN-USE",H338="เช่ายืม"),"เช่ายืม",IF(H338="พร้อมส่ง","พร้อมส่ง","รอสอบเทียบ"))))</x:f>
        <x:v>รอสอบเทียบ</x:v>
      </x:c>
    </x:row>
    <x:row r="339">
      <x:c r="A339" t="str">
        <x:v>SN_21123050071</x:v>
      </x:c>
      <x:c r="B339" t="str">
        <x:v>21123050071</x:v>
      </x:c>
      <x:c r="C339" t="str">
        <x:v>BYOND</x:v>
      </x:c>
      <x:c r="D339" t="str">
        <x:v>Sunfusion Semi-2</x:v>
      </x:c>
      <x:c r="E339" t="str">
        <x:v>Sunfusion Semi-2</x:v>
      </x:c>
      <x:c r="F339" t="str">
        <x:v>BYOND_PUMP</x:v>
      </x:c>
      <x:c r="G339" t="str">
        <x:v>Warehouse</x:v>
      </x:c>
      <x:c r="H339" t="str">
        <x:v>รอสอบเทียบ</x:v>
      </x:c>
      <x:c r="I339" t="str">
        <x:v>รอสอบเทียบ</x:v>
      </x:c>
      <x:c r="J339" t="str">
        <x:v>ไม่มีสัญญา</x:v>
      </x:c>
      <x:c r="K339" t="str">
        <x:v>รอสอบเทียบก่อนพร้อมส่ง</x:v>
      </x:c>
      <x:c r="L339" t="str">
        <x:v>ไม่ได้เช่ายืม = รอสอบเทียบ</x:v>
      </x:c>
      <x:c r="M339" t="str">
        <x:f>IF(OR(H339="ใช้งานไม่ได้",H339="BROKEN",H339="Broken"),"ใช้งานไม่ได้",IF(OR(H339="ไม่พบในรายการ",H339="MISSING",H339="Missing"),"ไม่พบในรายการ",IF(OR(J339="เช่ายืม",J339="IN_USE",J339="IN-USE",H339="เช่ายืม"),"เช่ายืม",IF(H339="พร้อมส่ง","พร้อมส่ง","รอสอบเทียบ"))))</x:f>
        <x:v>รอสอบเทียบ</x:v>
      </x:c>
    </x:row>
    <x:row r="340">
      <x:c r="A340" t="str">
        <x:v>SN_21123060013</x:v>
      </x:c>
      <x:c r="B340" t="str">
        <x:v>21123060013</x:v>
      </x:c>
      <x:c r="C340" t="str">
        <x:v>BYOND</x:v>
      </x:c>
      <x:c r="D340" t="str">
        <x:v>Sunfusion Semi-2</x:v>
      </x:c>
      <x:c r="E340" t="str">
        <x:v>Sunfusion Semi-2</x:v>
      </x:c>
      <x:c r="F340" t="str">
        <x:v>BYOND_PUMP</x:v>
      </x:c>
      <x:c r="G340" t="str">
        <x:v>Warehouse</x:v>
      </x:c>
      <x:c r="H340" t="str">
        <x:v>รอสอบเทียบ</x:v>
      </x:c>
      <x:c r="I340" t="str">
        <x:v>รอสอบเทียบ</x:v>
      </x:c>
      <x:c r="J340" t="str">
        <x:v>ไม่มีสัญญา</x:v>
      </x:c>
      <x:c r="K340" t="str">
        <x:v>รอสอบเทียบก่อนพร้อมส่ง</x:v>
      </x:c>
      <x:c r="L340" t="str">
        <x:v>ไม่ได้เช่ายืม = รอสอบเทียบ</x:v>
      </x:c>
      <x:c r="M340" t="str">
        <x:f>IF(OR(H340="ใช้งานไม่ได้",H340="BROKEN",H340="Broken"),"ใช้งานไม่ได้",IF(OR(H340="ไม่พบในรายการ",H340="MISSING",H340="Missing"),"ไม่พบในรายการ",IF(OR(J340="เช่ายืม",J340="IN_USE",J340="IN-USE",H340="เช่ายืม"),"เช่ายืม",IF(H340="พร้อมส่ง","พร้อมส่ง","รอสอบเทียบ"))))</x:f>
        <x:v>รอสอบเทียบ</x:v>
      </x:c>
    </x:row>
    <x:row r="341">
      <x:c r="A341" t="str">
        <x:v>SN_21123060041</x:v>
      </x:c>
      <x:c r="B341" t="str">
        <x:v>21123060041</x:v>
      </x:c>
      <x:c r="C341" t="str">
        <x:v>BYOND</x:v>
      </x:c>
      <x:c r="D341" t="str">
        <x:v>Sunfusion Semi-2</x:v>
      </x:c>
      <x:c r="E341" t="str">
        <x:v>Sunfusion Semi-2</x:v>
      </x:c>
      <x:c r="F341" t="str">
        <x:v>BYOND_PUMP</x:v>
      </x:c>
      <x:c r="G341" t="str">
        <x:v>Warehouse</x:v>
      </x:c>
      <x:c r="H341" t="str">
        <x:v>รอสอบเทียบ</x:v>
      </x:c>
      <x:c r="I341" t="str">
        <x:v>รอสอบเทียบ</x:v>
      </x:c>
      <x:c r="J341" t="str">
        <x:v>ไม่มีสัญญา</x:v>
      </x:c>
      <x:c r="K341" t="str">
        <x:v>รอสอบเทียบก่อนพร้อมส่ง</x:v>
      </x:c>
      <x:c r="L341" t="str">
        <x:v>ไม่ได้เช่ายืม = รอสอบเทียบ</x:v>
      </x:c>
      <x:c r="M341" t="str">
        <x:f>IF(OR(H341="ใช้งานไม่ได้",H341="BROKEN",H341="Broken"),"ใช้งานไม่ได้",IF(OR(H341="ไม่พบในรายการ",H341="MISSING",H341="Missing"),"ไม่พบในรายการ",IF(OR(J341="เช่ายืม",J341="IN_USE",J341="IN-USE",H341="เช่ายืม"),"เช่ายืม",IF(H341="พร้อมส่ง","พร้อมส่ง","รอสอบเทียบ"))))</x:f>
        <x:v>รอสอบเทียบ</x:v>
      </x:c>
    </x:row>
    <x:row r="342">
      <x:c r="A342" t="str">
        <x:v>CESR00001</x:v>
      </x:c>
      <x:c r="B342" t="str">
        <x:v>21123030196</x:v>
      </x:c>
      <x:c r="C342" t="str">
        <x:v>BYOND</x:v>
      </x:c>
      <x:c r="D342" t="str">
        <x:v>Sunfusion Semi-2</x:v>
      </x:c>
      <x:c r="E342" t="str">
        <x:v>Sunfusion Semi-2</x:v>
      </x:c>
      <x:c r="F342" t="str">
        <x:v>BYOND_PUMP</x:v>
      </x:c>
      <x:c r="G342" t="str">
        <x:v>ศูนย์การแพทย์กาญจนาภิเษก</x:v>
      </x:c>
      <x:c r="H342" t="str">
        <x:v>เช่ายืม</x:v>
      </x:c>
      <x:c r="I342" t="str">
        <x:v>พร้อมส่ง</x:v>
      </x:c>
      <x:c r="J342" t="str">
        <x:v>เช่ายืม</x:v>
      </x:c>
      <x:c r="K342" t="str">
        <x:v>อยู่ระหว่างเช่ายืม / เกินกำหนดคืน 176 วัน</x:v>
      </x:c>
      <x:c r="L342"/>
      <x:c r="M342" t="str">
        <x:f>IF(OR(H342="ใช้งานไม่ได้",H342="BROKEN",H342="Broken"),"ใช้งานไม่ได้",IF(OR(H342="ไม่พบในรายการ",H342="MISSING",H342="Missing"),"ไม่พบในรายการ",IF(OR(J342="เช่ายืม",J342="IN_USE",J342="IN-USE",H342="เช่ายืม"),"เช่ายืม",IF(H342="พร้อมส่ง","พร้อมส่ง","รอสอบเทียบ"))))</x:f>
        <x:v>เช่ายืม</x:v>
      </x:c>
    </x:row>
    <x:row r="343">
      <x:c r="A343" t="str">
        <x:v>CESR00002</x:v>
      </x:c>
      <x:c r="B343" t="str">
        <x:v>21123030197</x:v>
      </x:c>
      <x:c r="C343" t="str">
        <x:v>BYOND</x:v>
      </x:c>
      <x:c r="D343" t="str">
        <x:v>Sunfusion Semi-2</x:v>
      </x:c>
      <x:c r="E343" t="str">
        <x:v>Sunfusion Semi-2</x:v>
      </x:c>
      <x:c r="F343" t="str">
        <x:v>BYOND_PUMP</x:v>
      </x:c>
      <x:c r="G343" t="str">
        <x:v>ศูนย์การแพทย์กาญจนาภิเษก</x:v>
      </x:c>
      <x:c r="H343" t="str">
        <x:v>เช่ายืม</x:v>
      </x:c>
      <x:c r="I343" t="str">
        <x:v>พร้อมส่ง</x:v>
      </x:c>
      <x:c r="J343" t="str">
        <x:v>เช่ายืม</x:v>
      </x:c>
      <x:c r="K343" t="str">
        <x:v>อยู่ระหว่างเช่ายืม / เกินกำหนดคืน 176 วัน</x:v>
      </x:c>
      <x:c r="L343"/>
      <x:c r="M343" t="str">
        <x:f>IF(OR(H343="ใช้งานไม่ได้",H343="BROKEN",H343="Broken"),"ใช้งานไม่ได้",IF(OR(H343="ไม่พบในรายการ",H343="MISSING",H343="Missing"),"ไม่พบในรายการ",IF(OR(J343="เช่ายืม",J343="IN_USE",J343="IN-USE",H343="เช่ายืม"),"เช่ายืม",IF(H343="พร้อมส่ง","พร้อมส่ง","รอสอบเทียบ"))))</x:f>
        <x:v>เช่ายืม</x:v>
      </x:c>
    </x:row>
    <x:row r="344">
      <x:c r="A344" t="str">
        <x:v>CESR00003</x:v>
      </x:c>
      <x:c r="B344" t="str">
        <x:v>21123030198</x:v>
      </x:c>
      <x:c r="C344" t="str">
        <x:v>BYOND</x:v>
      </x:c>
      <x:c r="D344" t="str">
        <x:v>Sunfusion Semi-2</x:v>
      </x:c>
      <x:c r="E344" t="str">
        <x:v>Sunfusion Semi-2</x:v>
      </x:c>
      <x:c r="F344" t="str">
        <x:v>BYOND_PUMP</x:v>
      </x:c>
      <x:c r="G344" t="str">
        <x:v>Warehouse</x:v>
      </x:c>
      <x:c r="H344" t="str">
        <x:v>รอสอบเทียบ</x:v>
      </x:c>
      <x:c r="I344" t="str">
        <x:v>รอสอบเทียบ</x:v>
      </x:c>
      <x:c r="J344" t="str">
        <x:v>ไม่มีสัญญา</x:v>
      </x:c>
      <x:c r="K344" t="str">
        <x:v>รอสอบเทียบก่อนพร้อมส่ง</x:v>
      </x:c>
      <x:c r="L344" t="str">
        <x:v>ไม่ได้เช่ายืม = รอสอบเทียบ</x:v>
      </x:c>
      <x:c r="M344" t="str">
        <x:f>IF(OR(H344="ใช้งานไม่ได้",H344="BROKEN",H344="Broken"),"ใช้งานไม่ได้",IF(OR(H344="ไม่พบในรายการ",H344="MISSING",H344="Missing"),"ไม่พบในรายการ",IF(OR(J344="เช่ายืม",J344="IN_USE",J344="IN-USE",H344="เช่ายืม"),"เช่ายืม",IF(H344="พร้อมส่ง","พร้อมส่ง","รอสอบเทียบ"))))</x:f>
        <x:v>รอสอบเทียบ</x:v>
      </x:c>
    </x:row>
    <x:row r="345">
      <x:c r="A345" t="str">
        <x:v>CESR00004</x:v>
      </x:c>
      <x:c r="B345" t="str">
        <x:v>21123030199</x:v>
      </x:c>
      <x:c r="C345" t="str">
        <x:v>BYOND</x:v>
      </x:c>
      <x:c r="D345" t="str">
        <x:v>Sunfusion Semi-2</x:v>
      </x:c>
      <x:c r="E345" t="str">
        <x:v>Sunfusion Semi-2</x:v>
      </x:c>
      <x:c r="F345" t="str">
        <x:v>BYOND_PUMP</x:v>
      </x:c>
      <x:c r="G345" t="str">
        <x:v>ศูนย์การแพทย์กาญจนาภิเษก</x:v>
      </x:c>
      <x:c r="H345" t="str">
        <x:v>เช่ายืม</x:v>
      </x:c>
      <x:c r="I345" t="str">
        <x:v>พร้อมส่ง</x:v>
      </x:c>
      <x:c r="J345" t="str">
        <x:v>เช่ายืม</x:v>
      </x:c>
      <x:c r="K345" t="str">
        <x:v>อยู่ระหว่างเช่ายืม / เกินกำหนดคืน 176 วัน</x:v>
      </x:c>
      <x:c r="L345"/>
      <x:c r="M345" t="str">
        <x:f>IF(OR(H345="ใช้งานไม่ได้",H345="BROKEN",H345="Broken"),"ใช้งานไม่ได้",IF(OR(H345="ไม่พบในรายการ",H345="MISSING",H345="Missing"),"ไม่พบในรายการ",IF(OR(J345="เช่ายืม",J345="IN_USE",J345="IN-USE",H345="เช่ายืม"),"เช่ายืม",IF(H345="พร้อมส่ง","พร้อมส่ง","รอสอบเทียบ"))))</x:f>
        <x:v>เช่ายืม</x:v>
      </x:c>
    </x:row>
    <x:row r="346">
      <x:c r="A346" t="str">
        <x:v>CESR00005</x:v>
      </x:c>
      <x:c r="B346" t="str">
        <x:v>21123030200</x:v>
      </x:c>
      <x:c r="C346" t="str">
        <x:v>BYOND</x:v>
      </x:c>
      <x:c r="D346" t="str">
        <x:v>Sunfusion Semi-2</x:v>
      </x:c>
      <x:c r="E346" t="str">
        <x:v>Sunfusion Semi-2</x:v>
      </x:c>
      <x:c r="F346" t="str">
        <x:v>BYOND_PUMP</x:v>
      </x:c>
      <x:c r="G346" t="str">
        <x:v>GJ</x:v>
      </x:c>
      <x:c r="H346" t="str">
        <x:v>เช่ายืม</x:v>
      </x:c>
      <x:c r="I346" t="str">
        <x:v>พร้อมส่ง</x:v>
      </x:c>
      <x:c r="J346" t="str">
        <x:v>เช่ายืม</x:v>
      </x:c>
      <x:c r="K346" t="str">
        <x:v>อยู่ระหว่างเช่ายืม</x:v>
      </x:c>
      <x:c r="L346"/>
      <x:c r="M346" t="str">
        <x:f>IF(OR(H346="ใช้งานไม่ได้",H346="BROKEN",H346="Broken"),"ใช้งานไม่ได้",IF(OR(H346="ไม่พบในรายการ",H346="MISSING",H346="Missing"),"ไม่พบในรายการ",IF(OR(J346="เช่ายืม",J346="IN_USE",J346="IN-USE",H346="เช่ายืม"),"เช่ายืม",IF(H346="พร้อมส่ง","พร้อมส่ง","รอสอบเทียบ"))))</x:f>
        <x:v>เช่ายืม</x:v>
      </x:c>
    </x:row>
    <x:row r="347">
      <x:c r="A347" t="str">
        <x:v>CESR00006</x:v>
      </x:c>
      <x:c r="B347" t="str">
        <x:v>21123050001</x:v>
      </x:c>
      <x:c r="C347" t="str">
        <x:v>BYOND</x:v>
      </x:c>
      <x:c r="D347" t="str">
        <x:v>Sunfusion Semi-2</x:v>
      </x:c>
      <x:c r="E347" t="str">
        <x:v>Sunfusion Semi-2</x:v>
      </x:c>
      <x:c r="F347" t="str">
        <x:v>BYOND_PUMP</x:v>
      </x:c>
      <x:c r="G347" t="str">
        <x:v>ศูนย์การแพทย์กาญจนาภิเษก</x:v>
      </x:c>
      <x:c r="H347" t="str">
        <x:v>เช่ายืม</x:v>
      </x:c>
      <x:c r="I347" t="str">
        <x:v>พร้อมส่ง</x:v>
      </x:c>
      <x:c r="J347" t="str">
        <x:v>เช่ายืม</x:v>
      </x:c>
      <x:c r="K347" t="str">
        <x:v>อยู่ระหว่างเช่ายืม / เกินกำหนดคืน 176 วัน</x:v>
      </x:c>
      <x:c r="L347"/>
      <x:c r="M347" t="str">
        <x:f>IF(OR(H347="ใช้งานไม่ได้",H347="BROKEN",H347="Broken"),"ใช้งานไม่ได้",IF(OR(H347="ไม่พบในรายการ",H347="MISSING",H347="Missing"),"ไม่พบในรายการ",IF(OR(J347="เช่ายืม",J347="IN_USE",J347="IN-USE",H347="เช่ายืม"),"เช่ายืม",IF(H347="พร้อมส่ง","พร้อมส่ง","รอสอบเทียบ"))))</x:f>
        <x:v>เช่ายืม</x:v>
      </x:c>
    </x:row>
    <x:row r="348">
      <x:c r="A348" t="str">
        <x:v>CESR00007</x:v>
      </x:c>
      <x:c r="B348" t="str">
        <x:v>21123050002</x:v>
      </x:c>
      <x:c r="C348" t="str">
        <x:v>BYOND</x:v>
      </x:c>
      <x:c r="D348" t="str">
        <x:v>Sunfusion Semi-2</x:v>
      </x:c>
      <x:c r="E348" t="str">
        <x:v>Sunfusion Semi-2</x:v>
      </x:c>
      <x:c r="F348" t="str">
        <x:v>BYOND_PUMP</x:v>
      </x:c>
      <x:c r="G348" t="str">
        <x:v>ศูนย์การแพทย์กาญจนาภิเษก</x:v>
      </x:c>
      <x:c r="H348" t="str">
        <x:v>เช่ายืม</x:v>
      </x:c>
      <x:c r="I348" t="str">
        <x:v>พร้อมส่ง</x:v>
      </x:c>
      <x:c r="J348" t="str">
        <x:v>เช่ายืม</x:v>
      </x:c>
      <x:c r="K348" t="str">
        <x:v>อยู่ระหว่างเช่ายืม / เกินกำหนดคืน 176 วัน</x:v>
      </x:c>
      <x:c r="L348"/>
      <x:c r="M348" t="str">
        <x:f>IF(OR(H348="ใช้งานไม่ได้",H348="BROKEN",H348="Broken"),"ใช้งานไม่ได้",IF(OR(H348="ไม่พบในรายการ",H348="MISSING",H348="Missing"),"ไม่พบในรายการ",IF(OR(J348="เช่ายืม",J348="IN_USE",J348="IN-USE",H348="เช่ายืม"),"เช่ายืม",IF(H348="พร้อมส่ง","พร้อมส่ง","รอสอบเทียบ"))))</x:f>
        <x:v>เช่ายืม</x:v>
      </x:c>
    </x:row>
    <x:row r="349">
      <x:c r="A349" t="str">
        <x:v>CESR00008</x:v>
      </x:c>
      <x:c r="B349" t="str">
        <x:v>21123050003</x:v>
      </x:c>
      <x:c r="C349" t="str">
        <x:v>BYOND</x:v>
      </x:c>
      <x:c r="D349" t="str">
        <x:v>Sunfusion Semi-2</x:v>
      </x:c>
      <x:c r="E349" t="str">
        <x:v>Sunfusion Semi-2</x:v>
      </x:c>
      <x:c r="F349" t="str">
        <x:v>BYOND_PUMP</x:v>
      </x:c>
      <x:c r="G349" t="str">
        <x:v>ศูนย์การแพทย์กาญจนาภิเษก</x:v>
      </x:c>
      <x:c r="H349" t="str">
        <x:v>เช่ายืม</x:v>
      </x:c>
      <x:c r="I349" t="str">
        <x:v>พร้อมส่ง</x:v>
      </x:c>
      <x:c r="J349" t="str">
        <x:v>เช่ายืม</x:v>
      </x:c>
      <x:c r="K349" t="str">
        <x:v>อยู่ระหว่างเช่ายืม / เกินกำหนดคืน 176 วัน</x:v>
      </x:c>
      <x:c r="L349"/>
      <x:c r="M349" t="str">
        <x:f>IF(OR(H349="ใช้งานไม่ได้",H349="BROKEN",H349="Broken"),"ใช้งานไม่ได้",IF(OR(H349="ไม่พบในรายการ",H349="MISSING",H349="Missing"),"ไม่พบในรายการ",IF(OR(J349="เช่ายืม",J349="IN_USE",J349="IN-USE",H349="เช่ายืม"),"เช่ายืม",IF(H349="พร้อมส่ง","พร้อมส่ง","รอสอบเทียบ"))))</x:f>
        <x:v>เช่ายืม</x:v>
      </x:c>
    </x:row>
    <x:row r="350">
      <x:c r="A350" t="str">
        <x:v>CESR00009</x:v>
      </x:c>
      <x:c r="B350" t="str">
        <x:v>21123050004</x:v>
      </x:c>
      <x:c r="C350" t="str">
        <x:v>BYOND</x:v>
      </x:c>
      <x:c r="D350" t="str">
        <x:v>Sunfusion Semi-2</x:v>
      </x:c>
      <x:c r="E350" t="str">
        <x:v>Sunfusion Semi-2</x:v>
      </x:c>
      <x:c r="F350" t="str">
        <x:v>BYOND_PUMP</x:v>
      </x:c>
      <x:c r="G350" t="str">
        <x:v>ศูนย์การแพทย์กาญจนาภิเษก</x:v>
      </x:c>
      <x:c r="H350" t="str">
        <x:v>เช่ายืม</x:v>
      </x:c>
      <x:c r="I350" t="str">
        <x:v>พร้อมส่ง</x:v>
      </x:c>
      <x:c r="J350" t="str">
        <x:v>เช่ายืม</x:v>
      </x:c>
      <x:c r="K350" t="str">
        <x:v>อยู่ระหว่างเช่ายืม / เกินกำหนดคืน 176 วัน</x:v>
      </x:c>
      <x:c r="L350"/>
      <x:c r="M350" t="str">
        <x:f>IF(OR(H350="ใช้งานไม่ได้",H350="BROKEN",H350="Broken"),"ใช้งานไม่ได้",IF(OR(H350="ไม่พบในรายการ",H350="MISSING",H350="Missing"),"ไม่พบในรายการ",IF(OR(J350="เช่ายืม",J350="IN_USE",J350="IN-USE",H350="เช่ายืม"),"เช่ายืม",IF(H350="พร้อมส่ง","พร้อมส่ง","รอสอบเทียบ"))))</x:f>
        <x:v>เช่ายืม</x:v>
      </x:c>
    </x:row>
    <x:row r="351">
      <x:c r="A351" t="str">
        <x:v>CESR00010</x:v>
      </x:c>
      <x:c r="B351" t="str">
        <x:v>21123050005</x:v>
      </x:c>
      <x:c r="C351" t="str">
        <x:v>BYOND</x:v>
      </x:c>
      <x:c r="D351" t="str">
        <x:v>Sunfusion Semi-2</x:v>
      </x:c>
      <x:c r="E351" t="str">
        <x:v>Sunfusion Semi-2</x:v>
      </x:c>
      <x:c r="F351" t="str">
        <x:v>BYOND_PUMP</x:v>
      </x:c>
      <x:c r="G351" t="str">
        <x:v>Warehouse</x:v>
      </x:c>
      <x:c r="H351" t="str">
        <x:v>รอสอบเทียบ</x:v>
      </x:c>
      <x:c r="I351" t="str">
        <x:v>รอสอบเทียบ</x:v>
      </x:c>
      <x:c r="J351" t="str">
        <x:v>ไม่มีสัญญา</x:v>
      </x:c>
      <x:c r="K351" t="str">
        <x:v>รอสอบเทียบก่อนพร้อมส่ง</x:v>
      </x:c>
      <x:c r="L351" t="str">
        <x:v>ไม่ได้เช่ายืม = รอสอบเทียบ</x:v>
      </x:c>
      <x:c r="M351" t="str">
        <x:f>IF(OR(H351="ใช้งานไม่ได้",H351="BROKEN",H351="Broken"),"ใช้งานไม่ได้",IF(OR(H351="ไม่พบในรายการ",H351="MISSING",H351="Missing"),"ไม่พบในรายการ",IF(OR(J351="เช่ายืม",J351="IN_USE",J351="IN-USE",H351="เช่ายืม"),"เช่ายืม",IF(H351="พร้อมส่ง","พร้อมส่ง","รอสอบเทียบ"))))</x:f>
        <x:v>รอสอบเทียบ</x:v>
      </x:c>
    </x:row>
    <x:row r="352">
      <x:c r="A352" t="str">
        <x:v>CESR00011</x:v>
      </x:c>
      <x:c r="B352" t="str">
        <x:v>21123050006</x:v>
      </x:c>
      <x:c r="C352" t="str">
        <x:v>BYOND</x:v>
      </x:c>
      <x:c r="D352" t="str">
        <x:v>Sunfusion Semi-2</x:v>
      </x:c>
      <x:c r="E352" t="str">
        <x:v>Sunfusion Semi-2</x:v>
      </x:c>
      <x:c r="F352" t="str">
        <x:v>BYOND_PUMP</x:v>
      </x:c>
      <x:c r="G352" t="str">
        <x:v>Warehouse</x:v>
      </x:c>
      <x:c r="H352" t="str">
        <x:v>รอสอบเทียบ</x:v>
      </x:c>
      <x:c r="I352" t="str">
        <x:v>รอสอบเทียบ</x:v>
      </x:c>
      <x:c r="J352" t="str">
        <x:v>ไม่มีสัญญา</x:v>
      </x:c>
      <x:c r="K352" t="str">
        <x:v>รอสอบเทียบก่อนพร้อมส่ง</x:v>
      </x:c>
      <x:c r="L352" t="str">
        <x:v>ไม่ได้เช่ายืม = รอสอบเทียบ</x:v>
      </x:c>
      <x:c r="M352" t="str">
        <x:f>IF(OR(H352="ใช้งานไม่ได้",H352="BROKEN",H352="Broken"),"ใช้งานไม่ได้",IF(OR(H352="ไม่พบในรายการ",H352="MISSING",H352="Missing"),"ไม่พบในรายการ",IF(OR(J352="เช่ายืม",J352="IN_USE",J352="IN-USE",H352="เช่ายืม"),"เช่ายืม",IF(H352="พร้อมส่ง","พร้อมส่ง","รอสอบเทียบ"))))</x:f>
        <x:v>รอสอบเทียบ</x:v>
      </x:c>
    </x:row>
    <x:row r="353">
      <x:c r="A353" t="str">
        <x:v>CESR00012</x:v>
      </x:c>
      <x:c r="B353" t="str">
        <x:v>21123050007</x:v>
      </x:c>
      <x:c r="C353" t="str">
        <x:v>BYOND</x:v>
      </x:c>
      <x:c r="D353" t="str">
        <x:v>Sunfusion Semi-2</x:v>
      </x:c>
      <x:c r="E353" t="str">
        <x:v>Sunfusion Semi-2</x:v>
      </x:c>
      <x:c r="F353" t="str">
        <x:v>BYOND_PUMP</x:v>
      </x:c>
      <x:c r="G353" t="str">
        <x:v>Warehouse</x:v>
      </x:c>
      <x:c r="H353" t="str">
        <x:v>รอสอบเทียบ</x:v>
      </x:c>
      <x:c r="I353" t="str">
        <x:v>รอสอบเทียบ</x:v>
      </x:c>
      <x:c r="J353" t="str">
        <x:v>ไม่มีสัญญา</x:v>
      </x:c>
      <x:c r="K353" t="str">
        <x:v>รอสอบเทียบก่อนพร้อมส่ง</x:v>
      </x:c>
      <x:c r="L353" t="str">
        <x:v>ไม่ได้เช่ายืม = รอสอบเทียบ</x:v>
      </x:c>
      <x:c r="M353" t="str">
        <x:f>IF(OR(H353="ใช้งานไม่ได้",H353="BROKEN",H353="Broken"),"ใช้งานไม่ได้",IF(OR(H353="ไม่พบในรายการ",H353="MISSING",H353="Missing"),"ไม่พบในรายการ",IF(OR(J353="เช่ายืม",J353="IN_USE",J353="IN-USE",H353="เช่ายืม"),"เช่ายืม",IF(H353="พร้อมส่ง","พร้อมส่ง","รอสอบเทียบ"))))</x:f>
        <x:v>รอสอบเทียบ</x:v>
      </x:c>
    </x:row>
    <x:row r="354">
      <x:c r="A354" t="str">
        <x:v>CESR00013</x:v>
      </x:c>
      <x:c r="B354" t="str">
        <x:v>21123050008</x:v>
      </x:c>
      <x:c r="C354" t="str">
        <x:v>BYOND</x:v>
      </x:c>
      <x:c r="D354" t="str">
        <x:v>Sunfusion Semi-2</x:v>
      </x:c>
      <x:c r="E354" t="str">
        <x:v>Sunfusion Semi-2</x:v>
      </x:c>
      <x:c r="F354" t="str">
        <x:v>BYOND_PUMP</x:v>
      </x:c>
      <x:c r="G354" t="str">
        <x:v>Warehouse</x:v>
      </x:c>
      <x:c r="H354" t="str">
        <x:v>รอสอบเทียบ</x:v>
      </x:c>
      <x:c r="I354" t="str">
        <x:v>รอสอบเทียบ</x:v>
      </x:c>
      <x:c r="J354" t="str">
        <x:v>ไม่มีสัญญา</x:v>
      </x:c>
      <x:c r="K354" t="str">
        <x:v>รอสอบเทียบก่อนพร้อมส่ง</x:v>
      </x:c>
      <x:c r="L354" t="str">
        <x:v>ไม่ได้เช่ายืม = รอสอบเทียบ</x:v>
      </x:c>
      <x:c r="M354" t="str">
        <x:f>IF(OR(H354="ใช้งานไม่ได้",H354="BROKEN",H354="Broken"),"ใช้งานไม่ได้",IF(OR(H354="ไม่พบในรายการ",H354="MISSING",H354="Missing"),"ไม่พบในรายการ",IF(OR(J354="เช่ายืม",J354="IN_USE",J354="IN-USE",H354="เช่ายืม"),"เช่ายืม",IF(H354="พร้อมส่ง","พร้อมส่ง","รอสอบเทียบ"))))</x:f>
        <x:v>รอสอบเทียบ</x:v>
      </x:c>
    </x:row>
    <x:row r="355">
      <x:c r="A355" t="str">
        <x:v>CESR00014</x:v>
      </x:c>
      <x:c r="B355" t="str">
        <x:v>21123050009</x:v>
      </x:c>
      <x:c r="C355" t="str">
        <x:v>BYOND</x:v>
      </x:c>
      <x:c r="D355" t="str">
        <x:v>Sunfusion Semi-2</x:v>
      </x:c>
      <x:c r="E355" t="str">
        <x:v>Sunfusion Semi-2</x:v>
      </x:c>
      <x:c r="F355" t="str">
        <x:v>BYOND_PUMP</x:v>
      </x:c>
      <x:c r="G355" t="str">
        <x:v>ศูนย์การแพทย์กาญจนาภิเษก</x:v>
      </x:c>
      <x:c r="H355" t="str">
        <x:v>เช่ายืม</x:v>
      </x:c>
      <x:c r="I355" t="str">
        <x:v>พร้อมส่ง</x:v>
      </x:c>
      <x:c r="J355" t="str">
        <x:v>เช่ายืม</x:v>
      </x:c>
      <x:c r="K355" t="str">
        <x:v>อยู่ระหว่างเช่ายืม / เกินกำหนดคืน 176 วัน</x:v>
      </x:c>
      <x:c r="L355"/>
      <x:c r="M355" t="str">
        <x:f>IF(OR(H355="ใช้งานไม่ได้",H355="BROKEN",H355="Broken"),"ใช้งานไม่ได้",IF(OR(H355="ไม่พบในรายการ",H355="MISSING",H355="Missing"),"ไม่พบในรายการ",IF(OR(J355="เช่ายืม",J355="IN_USE",J355="IN-USE",H355="เช่ายืม"),"เช่ายืม",IF(H355="พร้อมส่ง","พร้อมส่ง","รอสอบเทียบ"))))</x:f>
        <x:v>เช่ายืม</x:v>
      </x:c>
    </x:row>
    <x:row r="356">
      <x:c r="A356" t="str">
        <x:v>CESR00015</x:v>
      </x:c>
      <x:c r="B356" t="str">
        <x:v>21122120401</x:v>
      </x:c>
      <x:c r="C356" t="str">
        <x:v>BYOND</x:v>
      </x:c>
      <x:c r="D356" t="str">
        <x:v>Sunfusion Semi-2</x:v>
      </x:c>
      <x:c r="E356" t="str">
        <x:v>Sunfusion Semi-2</x:v>
      </x:c>
      <x:c r="F356" t="str">
        <x:v>BYOND_PUMP</x:v>
      </x:c>
      <x:c r="G356" t="str">
        <x:v>GJ</x:v>
      </x:c>
      <x:c r="H356" t="str">
        <x:v>เช่ายืม</x:v>
      </x:c>
      <x:c r="I356" t="str">
        <x:v>พร้อมส่ง</x:v>
      </x:c>
      <x:c r="J356" t="str">
        <x:v>เช่ายืม</x:v>
      </x:c>
      <x:c r="K356" t="str">
        <x:v>อยู่ระหว่างเช่ายืม</x:v>
      </x:c>
      <x:c r="L356"/>
      <x:c r="M356" t="str">
        <x:f>IF(OR(H356="ใช้งานไม่ได้",H356="BROKEN",H356="Broken"),"ใช้งานไม่ได้",IF(OR(H356="ไม่พบในรายการ",H356="MISSING",H356="Missing"),"ไม่พบในรายการ",IF(OR(J356="เช่ายืม",J356="IN_USE",J356="IN-USE",H356="เช่ายืม"),"เช่ายืม",IF(H356="พร้อมส่ง","พร้อมส่ง","รอสอบเทียบ"))))</x:f>
        <x:v>เช่ายืม</x:v>
      </x:c>
    </x:row>
    <x:row r="357">
      <x:c r="A357" t="str">
        <x:v>CESR00016</x:v>
      </x:c>
      <x:c r="B357" t="str">
        <x:v>21123050012</x:v>
      </x:c>
      <x:c r="C357" t="str">
        <x:v>BYOND</x:v>
      </x:c>
      <x:c r="D357" t="str">
        <x:v>Sunfusion Semi-2</x:v>
      </x:c>
      <x:c r="E357" t="str">
        <x:v>Sunfusion Semi-2</x:v>
      </x:c>
      <x:c r="F357" t="str">
        <x:v>BYOND_PUMP</x:v>
      </x:c>
      <x:c r="G357" t="str">
        <x:v>Warehouse</x:v>
      </x:c>
      <x:c r="H357" t="str">
        <x:v>รอสอบเทียบ</x:v>
      </x:c>
      <x:c r="I357" t="str">
        <x:v>รอสอบเทียบ</x:v>
      </x:c>
      <x:c r="J357" t="str">
        <x:v>ไม่มีสัญญา</x:v>
      </x:c>
      <x:c r="K357" t="str">
        <x:v>รอสอบเทียบก่อนพร้อมส่ง</x:v>
      </x:c>
      <x:c r="L357" t="str">
        <x:v>ไม่ได้เช่ายืม = รอสอบเทียบ</x:v>
      </x:c>
      <x:c r="M357" t="str">
        <x:f>IF(OR(H357="ใช้งานไม่ได้",H357="BROKEN",H357="Broken"),"ใช้งานไม่ได้",IF(OR(H357="ไม่พบในรายการ",H357="MISSING",H357="Missing"),"ไม่พบในรายการ",IF(OR(J357="เช่ายืม",J357="IN_USE",J357="IN-USE",H357="เช่ายืม"),"เช่ายืม",IF(H357="พร้อมส่ง","พร้อมส่ง","รอสอบเทียบ"))))</x:f>
        <x:v>รอสอบเทียบ</x:v>
      </x:c>
    </x:row>
    <x:row r="358">
      <x:c r="A358" t="str">
        <x:v>CESR00017</x:v>
      </x:c>
      <x:c r="B358" t="str">
        <x:v>21123050013</x:v>
      </x:c>
      <x:c r="C358" t="str">
        <x:v>BYOND</x:v>
      </x:c>
      <x:c r="D358" t="str">
        <x:v>Sunfusion Semi-2</x:v>
      </x:c>
      <x:c r="E358" t="str">
        <x:v>Sunfusion Semi-2</x:v>
      </x:c>
      <x:c r="F358" t="str">
        <x:v>BYOND_PUMP</x:v>
      </x:c>
      <x:c r="G358" t="str">
        <x:v>ศูนย์การแพทย์กาญจนาภิเษก</x:v>
      </x:c>
      <x:c r="H358" t="str">
        <x:v>เช่ายืม</x:v>
      </x:c>
      <x:c r="I358" t="str">
        <x:v>พร้อมส่ง</x:v>
      </x:c>
      <x:c r="J358" t="str">
        <x:v>เช่ายืม</x:v>
      </x:c>
      <x:c r="K358" t="str">
        <x:v>อยู่ระหว่างเช่ายืม / เกินกำหนดคืน 176 วัน</x:v>
      </x:c>
      <x:c r="L358"/>
      <x:c r="M358" t="str">
        <x:f>IF(OR(H358="ใช้งานไม่ได้",H358="BROKEN",H358="Broken"),"ใช้งานไม่ได้",IF(OR(H358="ไม่พบในรายการ",H358="MISSING",H358="Missing"),"ไม่พบในรายการ",IF(OR(J358="เช่ายืม",J358="IN_USE",J358="IN-USE",H358="เช่ายืม"),"เช่ายืม",IF(H358="พร้อมส่ง","พร้อมส่ง","รอสอบเทียบ"))))</x:f>
        <x:v>เช่ายืม</x:v>
      </x:c>
    </x:row>
    <x:row r="359">
      <x:c r="A359" t="str">
        <x:v>CESR00018</x:v>
      </x:c>
      <x:c r="B359" t="str">
        <x:v>21123050014</x:v>
      </x:c>
      <x:c r="C359" t="str">
        <x:v>BYOND</x:v>
      </x:c>
      <x:c r="D359" t="str">
        <x:v>Sunfusion Semi-2</x:v>
      </x:c>
      <x:c r="E359" t="str">
        <x:v>Sunfusion Semi-2</x:v>
      </x:c>
      <x:c r="F359" t="str">
        <x:v>BYOND_PUMP</x:v>
      </x:c>
      <x:c r="G359" t="str">
        <x:v>Warehouse</x:v>
      </x:c>
      <x:c r="H359" t="str">
        <x:v>รอสอบเทียบ</x:v>
      </x:c>
      <x:c r="I359" t="str">
        <x:v>รอสอบเทียบ</x:v>
      </x:c>
      <x:c r="J359" t="str">
        <x:v>ไม่มีสัญญา</x:v>
      </x:c>
      <x:c r="K359" t="str">
        <x:v>รอสอบเทียบก่อนพร้อมส่ง</x:v>
      </x:c>
      <x:c r="L359" t="str">
        <x:v>ไม่ได้เช่ายืม = รอสอบเทียบ</x:v>
      </x:c>
      <x:c r="M359" t="str">
        <x:f>IF(OR(H359="ใช้งานไม่ได้",H359="BROKEN",H359="Broken"),"ใช้งานไม่ได้",IF(OR(H359="ไม่พบในรายการ",H359="MISSING",H359="Missing"),"ไม่พบในรายการ",IF(OR(J359="เช่ายืม",J359="IN_USE",J359="IN-USE",H359="เช่ายืม"),"เช่ายืม",IF(H359="พร้อมส่ง","พร้อมส่ง","รอสอบเทียบ"))))</x:f>
        <x:v>รอสอบเทียบ</x:v>
      </x:c>
    </x:row>
    <x:row r="360">
      <x:c r="A360" t="str">
        <x:v>CESR00019</x:v>
      </x:c>
      <x:c r="B360" t="str">
        <x:v>21123050015</x:v>
      </x:c>
      <x:c r="C360" t="str">
        <x:v>BYOND</x:v>
      </x:c>
      <x:c r="D360" t="str">
        <x:v>Sunfusion Semi-2</x:v>
      </x:c>
      <x:c r="E360" t="str">
        <x:v>Sunfusion Semi-2</x:v>
      </x:c>
      <x:c r="F360" t="str">
        <x:v>BYOND_PUMP</x:v>
      </x:c>
      <x:c r="G360" t="str">
        <x:v>ศูนย์การแพทย์กาญจนาภิเษก</x:v>
      </x:c>
      <x:c r="H360" t="str">
        <x:v>เช่ายืม</x:v>
      </x:c>
      <x:c r="I360" t="str">
        <x:v>พร้อมส่ง</x:v>
      </x:c>
      <x:c r="J360" t="str">
        <x:v>เช่ายืม</x:v>
      </x:c>
      <x:c r="K360" t="str">
        <x:v>อยู่ระหว่างเช่ายืม / เกินกำหนดคืน 176 วัน</x:v>
      </x:c>
      <x:c r="L360"/>
      <x:c r="M360" t="str">
        <x:f>IF(OR(H360="ใช้งานไม่ได้",H360="BROKEN",H360="Broken"),"ใช้งานไม่ได้",IF(OR(H360="ไม่พบในรายการ",H360="MISSING",H360="Missing"),"ไม่พบในรายการ",IF(OR(J360="เช่ายืม",J360="IN_USE",J360="IN-USE",H360="เช่ายืม"),"เช่ายืม",IF(H360="พร้อมส่ง","พร้อมส่ง","รอสอบเทียบ"))))</x:f>
        <x:v>เช่ายืม</x:v>
      </x:c>
    </x:row>
    <x:row r="361">
      <x:c r="A361" t="str">
        <x:v>CESR00020</x:v>
      </x:c>
      <x:c r="B361" t="str">
        <x:v>21123050016</x:v>
      </x:c>
      <x:c r="C361" t="str">
        <x:v>BYOND</x:v>
      </x:c>
      <x:c r="D361" t="str">
        <x:v>Sunfusion Semi-2</x:v>
      </x:c>
      <x:c r="E361" t="str">
        <x:v>Sunfusion Semi-2</x:v>
      </x:c>
      <x:c r="F361" t="str">
        <x:v>BYOND_PUMP</x:v>
      </x:c>
      <x:c r="G361" t="str">
        <x:v>Warehouse</x:v>
      </x:c>
      <x:c r="H361" t="str">
        <x:v>รอสอบเทียบ</x:v>
      </x:c>
      <x:c r="I361" t="str">
        <x:v>รอสอบเทียบ</x:v>
      </x:c>
      <x:c r="J361" t="str">
        <x:v>ไม่มีสัญญา</x:v>
      </x:c>
      <x:c r="K361" t="str">
        <x:v>รอสอบเทียบก่อนพร้อมส่ง</x:v>
      </x:c>
      <x:c r="L361" t="str">
        <x:v>ไม่ได้เช่ายืม = รอสอบเทียบ</x:v>
      </x:c>
      <x:c r="M361" t="str">
        <x:f>IF(OR(H361="ใช้งานไม่ได้",H361="BROKEN",H361="Broken"),"ใช้งานไม่ได้",IF(OR(H361="ไม่พบในรายการ",H361="MISSING",H361="Missing"),"ไม่พบในรายการ",IF(OR(J361="เช่ายืม",J361="IN_USE",J361="IN-USE",H361="เช่ายืม"),"เช่ายืม",IF(H361="พร้อมส่ง","พร้อมส่ง","รอสอบเทียบ"))))</x:f>
        <x:v>รอสอบเทียบ</x:v>
      </x:c>
    </x:row>
    <x:row r="362">
      <x:c r="A362" t="str">
        <x:v>CESR00021</x:v>
      </x:c>
      <x:c r="B362" t="str">
        <x:v>21123050017</x:v>
      </x:c>
      <x:c r="C362" t="str">
        <x:v>BYOND</x:v>
      </x:c>
      <x:c r="D362" t="str">
        <x:v>Sunfusion Semi-2</x:v>
      </x:c>
      <x:c r="E362" t="str">
        <x:v>Sunfusion Semi-2</x:v>
      </x:c>
      <x:c r="F362" t="str">
        <x:v>BYOND_PUMP</x:v>
      </x:c>
      <x:c r="G362" t="str">
        <x:v>ศูนย์การแพทย์กาญจนาภิเษก</x:v>
      </x:c>
      <x:c r="H362" t="str">
        <x:v>เช่ายืม</x:v>
      </x:c>
      <x:c r="I362" t="str">
        <x:v>พร้อมส่ง</x:v>
      </x:c>
      <x:c r="J362" t="str">
        <x:v>เช่ายืม</x:v>
      </x:c>
      <x:c r="K362" t="str">
        <x:v>อยู่ระหว่างเช่ายืม / เกินกำหนดคืน 176 วัน</x:v>
      </x:c>
      <x:c r="L362"/>
      <x:c r="M362" t="str">
        <x:f>IF(OR(H362="ใช้งานไม่ได้",H362="BROKEN",H362="Broken"),"ใช้งานไม่ได้",IF(OR(H362="ไม่พบในรายการ",H362="MISSING",H362="Missing"),"ไม่พบในรายการ",IF(OR(J362="เช่ายืม",J362="IN_USE",J362="IN-USE",H362="เช่ายืม"),"เช่ายืม",IF(H362="พร้อมส่ง","พร้อมส่ง","รอสอบเทียบ"))))</x:f>
        <x:v>เช่ายืม</x:v>
      </x:c>
    </x:row>
    <x:row r="363">
      <x:c r="A363" t="str">
        <x:v>CESR00022</x:v>
      </x:c>
      <x:c r="B363" t="str">
        <x:v>21123050018</x:v>
      </x:c>
      <x:c r="C363" t="str">
        <x:v>BYOND</x:v>
      </x:c>
      <x:c r="D363" t="str">
        <x:v>Sunfusion Semi-2</x:v>
      </x:c>
      <x:c r="E363" t="str">
        <x:v>Sunfusion Semi-2</x:v>
      </x:c>
      <x:c r="F363" t="str">
        <x:v>BYOND_PUMP</x:v>
      </x:c>
      <x:c r="G363" t="str">
        <x:v>รพ.สูงเนิน</x:v>
      </x:c>
      <x:c r="H363" t="str">
        <x:v>เช่ายืม</x:v>
      </x:c>
      <x:c r="I363" t="str">
        <x:v>พร้อมส่ง</x:v>
      </x:c>
      <x:c r="J363" t="str">
        <x:v>เช่ายืม</x:v>
      </x:c>
      <x:c r="K363" t="str">
        <x:v>No action</x:v>
      </x:c>
      <x:c r="L363"/>
      <x:c r="M363" t="str">
        <x:f>IF(OR(H363="ใช้งานไม่ได้",H363="BROKEN",H363="Broken"),"ใช้งานไม่ได้",IF(OR(H363="ไม่พบในรายการ",H363="MISSING",H363="Missing"),"ไม่พบในรายการ",IF(OR(J363="เช่ายืม",J363="IN_USE",J363="IN-USE",H363="เช่ายืม"),"เช่ายืม",IF(H363="พร้อมส่ง","พร้อมส่ง","รอสอบเทียบ"))))</x:f>
        <x:v>เช่ายืม</x:v>
      </x:c>
    </x:row>
    <x:row r="364">
      <x:c r="A364" t="str">
        <x:v>CESR00023</x:v>
      </x:c>
      <x:c r="B364" t="str">
        <x:v>21123050019</x:v>
      </x:c>
      <x:c r="C364" t="str">
        <x:v>BYOND</x:v>
      </x:c>
      <x:c r="D364" t="str">
        <x:v>Sunfusion Semi-2</x:v>
      </x:c>
      <x:c r="E364" t="str">
        <x:v>Sunfusion Semi-2</x:v>
      </x:c>
      <x:c r="F364" t="str">
        <x:v>BYOND_PUMP</x:v>
      </x:c>
      <x:c r="G364" t="str">
        <x:v>ศูนย์การแพทย์กาญจนาภิเษก</x:v>
      </x:c>
      <x:c r="H364" t="str">
        <x:v>เช่ายืม</x:v>
      </x:c>
      <x:c r="I364" t="str">
        <x:v>พร้อมส่ง</x:v>
      </x:c>
      <x:c r="J364" t="str">
        <x:v>เช่ายืม</x:v>
      </x:c>
      <x:c r="K364" t="str">
        <x:v>อยู่ระหว่างเช่ายืม / เกินกำหนดคืน 176 วัน</x:v>
      </x:c>
      <x:c r="L364"/>
      <x:c r="M364" t="str">
        <x:f>IF(OR(H364="ใช้งานไม่ได้",H364="BROKEN",H364="Broken"),"ใช้งานไม่ได้",IF(OR(H364="ไม่พบในรายการ",H364="MISSING",H364="Missing"),"ไม่พบในรายการ",IF(OR(J364="เช่ายืม",J364="IN_USE",J364="IN-USE",H364="เช่ายืม"),"เช่ายืม",IF(H364="พร้อมส่ง","พร้อมส่ง","รอสอบเทียบ"))))</x:f>
        <x:v>เช่ายืม</x:v>
      </x:c>
    </x:row>
    <x:row r="365">
      <x:c r="A365" t="str">
        <x:v>CESR00024</x:v>
      </x:c>
      <x:c r="B365" t="str">
        <x:v>21123050020</x:v>
      </x:c>
      <x:c r="C365" t="str">
        <x:v>BYOND</x:v>
      </x:c>
      <x:c r="D365" t="str">
        <x:v>Sunfusion Semi-2</x:v>
      </x:c>
      <x:c r="E365" t="str">
        <x:v>Sunfusion Semi-2</x:v>
      </x:c>
      <x:c r="F365" t="str">
        <x:v>BYOND_PUMP</x:v>
      </x:c>
      <x:c r="G365" t="str">
        <x:v>Warehouse</x:v>
      </x:c>
      <x:c r="H365" t="str">
        <x:v>รอสอบเทียบ</x:v>
      </x:c>
      <x:c r="I365" t="str">
        <x:v>รอสอบเทียบ</x:v>
      </x:c>
      <x:c r="J365" t="str">
        <x:v>ไม่มีสัญญา</x:v>
      </x:c>
      <x:c r="K365" t="str">
        <x:v>รอสอบเทียบก่อนพร้อมส่ง</x:v>
      </x:c>
      <x:c r="L365" t="str">
        <x:v>ไม่ได้เช่ายืม = รอสอบเทียบ</x:v>
      </x:c>
      <x:c r="M365" t="str">
        <x:f>IF(OR(H365="ใช้งานไม่ได้",H365="BROKEN",H365="Broken"),"ใช้งานไม่ได้",IF(OR(H365="ไม่พบในรายการ",H365="MISSING",H365="Missing"),"ไม่พบในรายการ",IF(OR(J365="เช่ายืม",J365="IN_USE",J365="IN-USE",H365="เช่ายืม"),"เช่ายืม",IF(H365="พร้อมส่ง","พร้อมส่ง","รอสอบเทียบ"))))</x:f>
        <x:v>รอสอบเทียบ</x:v>
      </x:c>
    </x:row>
    <x:row r="366">
      <x:c r="A366" t="str">
        <x:v>CESR00025</x:v>
      </x:c>
      <x:c r="B366" t="str">
        <x:v>21123050021</x:v>
      </x:c>
      <x:c r="C366" t="str">
        <x:v>BYOND</x:v>
      </x:c>
      <x:c r="D366" t="str">
        <x:v>Sunfusion Semi-2</x:v>
      </x:c>
      <x:c r="E366" t="str">
        <x:v>Sunfusion Semi-2</x:v>
      </x:c>
      <x:c r="F366" t="str">
        <x:v>BYOND_PUMP</x:v>
      </x:c>
      <x:c r="G366" t="str">
        <x:v>ศูนย์การแพทย์กาญจนาภิเษก</x:v>
      </x:c>
      <x:c r="H366" t="str">
        <x:v>เช่ายืม</x:v>
      </x:c>
      <x:c r="I366" t="str">
        <x:v>พร้อมส่ง</x:v>
      </x:c>
      <x:c r="J366" t="str">
        <x:v>เช่ายืม</x:v>
      </x:c>
      <x:c r="K366" t="str">
        <x:v>อยู่ระหว่างเช่ายืม / เกินกำหนดคืน 176 วัน</x:v>
      </x:c>
      <x:c r="L366"/>
      <x:c r="M366" t="str">
        <x:f>IF(OR(H366="ใช้งานไม่ได้",H366="BROKEN",H366="Broken"),"ใช้งานไม่ได้",IF(OR(H366="ไม่พบในรายการ",H366="MISSING",H366="Missing"),"ไม่พบในรายการ",IF(OR(J366="เช่ายืม",J366="IN_USE",J366="IN-USE",H366="เช่ายืม"),"เช่ายืม",IF(H366="พร้อมส่ง","พร้อมส่ง","รอสอบเทียบ"))))</x:f>
        <x:v>เช่ายืม</x:v>
      </x:c>
    </x:row>
    <x:row r="367">
      <x:c r="A367" t="str">
        <x:v>CESR00026</x:v>
      </x:c>
      <x:c r="B367" t="str">
        <x:v>21123050022</x:v>
      </x:c>
      <x:c r="C367" t="str">
        <x:v>BYOND</x:v>
      </x:c>
      <x:c r="D367" t="str">
        <x:v>Sunfusion Semi-2</x:v>
      </x:c>
      <x:c r="E367" t="str">
        <x:v>Sunfusion Semi-2</x:v>
      </x:c>
      <x:c r="F367" t="str">
        <x:v>BYOND_PUMP</x:v>
      </x:c>
      <x:c r="G367" t="str">
        <x:v>Warehouse</x:v>
      </x:c>
      <x:c r="H367" t="str">
        <x:v>รอสอบเทียบ</x:v>
      </x:c>
      <x:c r="I367" t="str">
        <x:v>รอสอบเทียบ</x:v>
      </x:c>
      <x:c r="J367" t="str">
        <x:v>ไม่มีสัญญา</x:v>
      </x:c>
      <x:c r="K367" t="str">
        <x:v>รอสอบเทียบก่อนพร้อมส่ง</x:v>
      </x:c>
      <x:c r="L367" t="str">
        <x:v>ไม่ได้เช่ายืม = รอสอบเทียบ</x:v>
      </x:c>
      <x:c r="M367" t="str">
        <x:f>IF(OR(H367="ใช้งานไม่ได้",H367="BROKEN",H367="Broken"),"ใช้งานไม่ได้",IF(OR(H367="ไม่พบในรายการ",H367="MISSING",H367="Missing"),"ไม่พบในรายการ",IF(OR(J367="เช่ายืม",J367="IN_USE",J367="IN-USE",H367="เช่ายืม"),"เช่ายืม",IF(H367="พร้อมส่ง","พร้อมส่ง","รอสอบเทียบ"))))</x:f>
        <x:v>รอสอบเทียบ</x:v>
      </x:c>
    </x:row>
    <x:row r="368">
      <x:c r="A368" t="str">
        <x:v>CESR00027</x:v>
      </x:c>
      <x:c r="B368" t="str">
        <x:v>21123050023</x:v>
      </x:c>
      <x:c r="C368" t="str">
        <x:v>BYOND</x:v>
      </x:c>
      <x:c r="D368" t="str">
        <x:v>Sunfusion Semi-2</x:v>
      </x:c>
      <x:c r="E368" t="str">
        <x:v>Sunfusion Semi-2</x:v>
      </x:c>
      <x:c r="F368" t="str">
        <x:v>BYOND_PUMP</x:v>
      </x:c>
      <x:c r="G368" t="str">
        <x:v>Warehouse</x:v>
      </x:c>
      <x:c r="H368" t="str">
        <x:v>รอสอบเทียบ</x:v>
      </x:c>
      <x:c r="I368" t="str">
        <x:v>รอสอบเทียบ</x:v>
      </x:c>
      <x:c r="J368" t="str">
        <x:v>ไม่มีสัญญา</x:v>
      </x:c>
      <x:c r="K368" t="str">
        <x:v>รอสอบเทียบก่อนพร้อมส่ง</x:v>
      </x:c>
      <x:c r="L368" t="str">
        <x:v>ไม่ได้เช่ายืม = รอสอบเทียบ</x:v>
      </x:c>
      <x:c r="M368" t="str">
        <x:f>IF(OR(H368="ใช้งานไม่ได้",H368="BROKEN",H368="Broken"),"ใช้งานไม่ได้",IF(OR(H368="ไม่พบในรายการ",H368="MISSING",H368="Missing"),"ไม่พบในรายการ",IF(OR(J368="เช่ายืม",J368="IN_USE",J368="IN-USE",H368="เช่ายืม"),"เช่ายืม",IF(H368="พร้อมส่ง","พร้อมส่ง","รอสอบเทียบ"))))</x:f>
        <x:v>รอสอบเทียบ</x:v>
      </x:c>
    </x:row>
    <x:row r="369">
      <x:c r="A369" t="str">
        <x:v>CESR00028</x:v>
      </x:c>
      <x:c r="B369" t="str">
        <x:v>21123050024</x:v>
      </x:c>
      <x:c r="C369" t="str">
        <x:v>BYOND</x:v>
      </x:c>
      <x:c r="D369" t="str">
        <x:v>Sunfusion Semi-2</x:v>
      </x:c>
      <x:c r="E369" t="str">
        <x:v>Sunfusion Semi-2</x:v>
      </x:c>
      <x:c r="F369" t="str">
        <x:v>BYOND_PUMP</x:v>
      </x:c>
      <x:c r="G369" t="str">
        <x:v>GJ</x:v>
      </x:c>
      <x:c r="H369" t="str">
        <x:v>เช่ายืม</x:v>
      </x:c>
      <x:c r="I369" t="str">
        <x:v>พร้อมส่ง</x:v>
      </x:c>
      <x:c r="J369" t="str">
        <x:v>เช่ายืม</x:v>
      </x:c>
      <x:c r="K369" t="str">
        <x:v>อยู่ระหว่างเช่ายืม</x:v>
      </x:c>
      <x:c r="L369"/>
      <x:c r="M369" t="str">
        <x:f>IF(OR(H369="ใช้งานไม่ได้",H369="BROKEN",H369="Broken"),"ใช้งานไม่ได้",IF(OR(H369="ไม่พบในรายการ",H369="MISSING",H369="Missing"),"ไม่พบในรายการ",IF(OR(J369="เช่ายืม",J369="IN_USE",J369="IN-USE",H369="เช่ายืม"),"เช่ายืม",IF(H369="พร้อมส่ง","พร้อมส่ง","รอสอบเทียบ"))))</x:f>
        <x:v>เช่ายืม</x:v>
      </x:c>
    </x:row>
    <x:row r="370">
      <x:c r="A370" t="str">
        <x:v>CESR00029</x:v>
      </x:c>
      <x:c r="B370" t="str">
        <x:v>21123050025</x:v>
      </x:c>
      <x:c r="C370" t="str">
        <x:v>BYOND</x:v>
      </x:c>
      <x:c r="D370" t="str">
        <x:v>Sunfusion Semi-2</x:v>
      </x:c>
      <x:c r="E370" t="str">
        <x:v>Sunfusion Semi-2</x:v>
      </x:c>
      <x:c r="F370" t="str">
        <x:v>BYOND_PUMP</x:v>
      </x:c>
      <x:c r="G370" t="str">
        <x:v>ศูนย์การแพทย์กาญจนาภิเษก</x:v>
      </x:c>
      <x:c r="H370" t="str">
        <x:v>เช่ายืม</x:v>
      </x:c>
      <x:c r="I370" t="str">
        <x:v>พร้อมส่ง</x:v>
      </x:c>
      <x:c r="J370" t="str">
        <x:v>เช่ายืม</x:v>
      </x:c>
      <x:c r="K370" t="str">
        <x:v>อยู่ระหว่างเช่ายืม / เกินกำหนดคืน 176 วัน</x:v>
      </x:c>
      <x:c r="L370"/>
      <x:c r="M370" t="str">
        <x:f>IF(OR(H370="ใช้งานไม่ได้",H370="BROKEN",H370="Broken"),"ใช้งานไม่ได้",IF(OR(H370="ไม่พบในรายการ",H370="MISSING",H370="Missing"),"ไม่พบในรายการ",IF(OR(J370="เช่ายืม",J370="IN_USE",J370="IN-USE",H370="เช่ายืม"),"เช่ายืม",IF(H370="พร้อมส่ง","พร้อมส่ง","รอสอบเทียบ"))))</x:f>
        <x:v>เช่ายืม</x:v>
      </x:c>
    </x:row>
    <x:row r="371">
      <x:c r="A371" t="str">
        <x:v>CESR00030</x:v>
      </x:c>
      <x:c r="B371" t="str">
        <x:v>21123050028</x:v>
      </x:c>
      <x:c r="C371" t="str">
        <x:v>BYOND</x:v>
      </x:c>
      <x:c r="D371" t="str">
        <x:v>Sunfusion Semi-2</x:v>
      </x:c>
      <x:c r="E371" t="str">
        <x:v>Sunfusion Semi-2</x:v>
      </x:c>
      <x:c r="F371" t="str">
        <x:v>BYOND_PUMP</x:v>
      </x:c>
      <x:c r="G371" t="str">
        <x:v>Warehouse</x:v>
      </x:c>
      <x:c r="H371" t="str">
        <x:v>รอสอบเทียบ</x:v>
      </x:c>
      <x:c r="I371" t="str">
        <x:v>รอสอบเทียบ</x:v>
      </x:c>
      <x:c r="J371" t="str">
        <x:v>ไม่มีสัญญา</x:v>
      </x:c>
      <x:c r="K371" t="str">
        <x:v>รอสอบเทียบก่อนพร้อมส่ง</x:v>
      </x:c>
      <x:c r="L371" t="str">
        <x:v>ไม่ได้เช่ายืม = รอสอบเทียบ</x:v>
      </x:c>
      <x:c r="M371" t="str">
        <x:f>IF(OR(H371="ใช้งานไม่ได้",H371="BROKEN",H371="Broken"),"ใช้งานไม่ได้",IF(OR(H371="ไม่พบในรายการ",H371="MISSING",H371="Missing"),"ไม่พบในรายการ",IF(OR(J371="เช่ายืม",J371="IN_USE",J371="IN-USE",H371="เช่ายืม"),"เช่ายืม",IF(H371="พร้อมส่ง","พร้อมส่ง","รอสอบเทียบ"))))</x:f>
        <x:v>รอสอบเทียบ</x:v>
      </x:c>
    </x:row>
    <x:row r="372">
      <x:c r="A372" t="str">
        <x:v>CESR00031</x:v>
      </x:c>
      <x:c r="B372" t="str">
        <x:v>21123050030</x:v>
      </x:c>
      <x:c r="C372" t="str">
        <x:v>BYOND</x:v>
      </x:c>
      <x:c r="D372" t="str">
        <x:v>Sunfusion Semi-2</x:v>
      </x:c>
      <x:c r="E372" t="str">
        <x:v>Sunfusion Semi-2</x:v>
      </x:c>
      <x:c r="F372" t="str">
        <x:v>BYOND_PUMP</x:v>
      </x:c>
      <x:c r="G372" t="str">
        <x:v>ศูนย์การแพทย์กาญจนาภิเษก</x:v>
      </x:c>
      <x:c r="H372" t="str">
        <x:v>เช่ายืม</x:v>
      </x:c>
      <x:c r="I372" t="str">
        <x:v>พร้อมส่ง</x:v>
      </x:c>
      <x:c r="J372" t="str">
        <x:v>เช่ายืม</x:v>
      </x:c>
      <x:c r="K372" t="str">
        <x:v>อยู่ระหว่างเช่ายืม / เกินกำหนดคืน 176 วัน</x:v>
      </x:c>
      <x:c r="L372"/>
      <x:c r="M372" t="str">
        <x:f>IF(OR(H372="ใช้งานไม่ได้",H372="BROKEN",H372="Broken"),"ใช้งานไม่ได้",IF(OR(H372="ไม่พบในรายการ",H372="MISSING",H372="Missing"),"ไม่พบในรายการ",IF(OR(J372="เช่ายืม",J372="IN_USE",J372="IN-USE",H372="เช่ายืม"),"เช่ายืม",IF(H372="พร้อมส่ง","พร้อมส่ง","รอสอบเทียบ"))))</x:f>
        <x:v>เช่ายืม</x:v>
      </x:c>
    </x:row>
    <x:row r="373">
      <x:c r="A373" t="str">
        <x:v>CESR00032</x:v>
      </x:c>
      <x:c r="B373" t="str">
        <x:v>21123050031</x:v>
      </x:c>
      <x:c r="C373" t="str">
        <x:v>BYOND</x:v>
      </x:c>
      <x:c r="D373" t="str">
        <x:v>Sunfusion Semi-2</x:v>
      </x:c>
      <x:c r="E373" t="str">
        <x:v>Sunfusion Semi-2</x:v>
      </x:c>
      <x:c r="F373" t="str">
        <x:v>BYOND_PUMP</x:v>
      </x:c>
      <x:c r="G373" t="str">
        <x:v>ศูนย์การแพทย์กาญจนาภิเษก</x:v>
      </x:c>
      <x:c r="H373" t="str">
        <x:v>เช่ายืม</x:v>
      </x:c>
      <x:c r="I373" t="str">
        <x:v>พร้อมส่ง</x:v>
      </x:c>
      <x:c r="J373" t="str">
        <x:v>เช่ายืม</x:v>
      </x:c>
      <x:c r="K373" t="str">
        <x:v>อยู่ระหว่างเช่ายืม / เกินกำหนดคืน 176 วัน</x:v>
      </x:c>
      <x:c r="L373"/>
      <x:c r="M373" t="str">
        <x:f>IF(OR(H373="ใช้งานไม่ได้",H373="BROKEN",H373="Broken"),"ใช้งานไม่ได้",IF(OR(H373="ไม่พบในรายการ",H373="MISSING",H373="Missing"),"ไม่พบในรายการ",IF(OR(J373="เช่ายืม",J373="IN_USE",J373="IN-USE",H373="เช่ายืม"),"เช่ายืม",IF(H373="พร้อมส่ง","พร้อมส่ง","รอสอบเทียบ"))))</x:f>
        <x:v>เช่ายืม</x:v>
      </x:c>
    </x:row>
    <x:row r="374">
      <x:c r="A374" t="str">
        <x:v>CESR00033</x:v>
      </x:c>
      <x:c r="B374" t="str">
        <x:v>21123050033</x:v>
      </x:c>
      <x:c r="C374" t="str">
        <x:v>BYOND</x:v>
      </x:c>
      <x:c r="D374" t="str">
        <x:v>Sunfusion Semi-2</x:v>
      </x:c>
      <x:c r="E374" t="str">
        <x:v>Sunfusion Semi-2</x:v>
      </x:c>
      <x:c r="F374" t="str">
        <x:v>BYOND_PUMP</x:v>
      </x:c>
      <x:c r="G374" t="str">
        <x:v>รพ.สูงเนิน</x:v>
      </x:c>
      <x:c r="H374" t="str">
        <x:v>เช่ายืม</x:v>
      </x:c>
      <x:c r="I374" t="str">
        <x:v>พร้อมส่ง</x:v>
      </x:c>
      <x:c r="J374" t="str">
        <x:v>เช่ายืม</x:v>
      </x:c>
      <x:c r="K374" t="str">
        <x:v>No action</x:v>
      </x:c>
      <x:c r="L374"/>
      <x:c r="M374" t="str">
        <x:f>IF(OR(H374="ใช้งานไม่ได้",H374="BROKEN",H374="Broken"),"ใช้งานไม่ได้",IF(OR(H374="ไม่พบในรายการ",H374="MISSING",H374="Missing"),"ไม่พบในรายการ",IF(OR(J374="เช่ายืม",J374="IN_USE",J374="IN-USE",H374="เช่ายืม"),"เช่ายืม",IF(H374="พร้อมส่ง","พร้อมส่ง","รอสอบเทียบ"))))</x:f>
        <x:v>เช่ายืม</x:v>
      </x:c>
    </x:row>
    <x:row r="375">
      <x:c r="A375" t="str">
        <x:v>CESR00034</x:v>
      </x:c>
      <x:c r="B375" t="str">
        <x:v>21123050034</x:v>
      </x:c>
      <x:c r="C375" t="str">
        <x:v>BYOND</x:v>
      </x:c>
      <x:c r="D375" t="str">
        <x:v>Sunfusion Semi-2</x:v>
      </x:c>
      <x:c r="E375" t="str">
        <x:v>Sunfusion Semi-2</x:v>
      </x:c>
      <x:c r="F375" t="str">
        <x:v>BYOND_PUMP</x:v>
      </x:c>
      <x:c r="G375" t="str">
        <x:v>ศูนย์การแพทย์กาญจนาภิเษก</x:v>
      </x:c>
      <x:c r="H375" t="str">
        <x:v>เช่ายืม</x:v>
      </x:c>
      <x:c r="I375" t="str">
        <x:v>พร้อมส่ง</x:v>
      </x:c>
      <x:c r="J375" t="str">
        <x:v>เช่ายืม</x:v>
      </x:c>
      <x:c r="K375" t="str">
        <x:v>อยู่ระหว่างเช่ายืม / เกินกำหนดคืน 176 วัน</x:v>
      </x:c>
      <x:c r="L375"/>
      <x:c r="M375" t="str">
        <x:f>IF(OR(H375="ใช้งานไม่ได้",H375="BROKEN",H375="Broken"),"ใช้งานไม่ได้",IF(OR(H375="ไม่พบในรายการ",H375="MISSING",H375="Missing"),"ไม่พบในรายการ",IF(OR(J375="เช่ายืม",J375="IN_USE",J375="IN-USE",H375="เช่ายืม"),"เช่ายืม",IF(H375="พร้อมส่ง","พร้อมส่ง","รอสอบเทียบ"))))</x:f>
        <x:v>เช่ายืม</x:v>
      </x:c>
    </x:row>
    <x:row r="376">
      <x:c r="A376" t="str">
        <x:v>CESR00035</x:v>
      </x:c>
      <x:c r="B376" t="str">
        <x:v>21122120474</x:v>
      </x:c>
      <x:c r="C376" t="str">
        <x:v>BYOND</x:v>
      </x:c>
      <x:c r="D376" t="str">
        <x:v>Sunfusion Semi-2</x:v>
      </x:c>
      <x:c r="E376" t="str">
        <x:v>Sunfusion Semi-2</x:v>
      </x:c>
      <x:c r="F376" t="str">
        <x:v>BYOND_PUMP</x:v>
      </x:c>
      <x:c r="G376" t="str">
        <x:v>GJ</x:v>
      </x:c>
      <x:c r="H376" t="str">
        <x:v>เช่ายืม</x:v>
      </x:c>
      <x:c r="I376" t="str">
        <x:v>พร้อมส่ง</x:v>
      </x:c>
      <x:c r="J376" t="str">
        <x:v>เช่ายืม</x:v>
      </x:c>
      <x:c r="K376" t="str">
        <x:v>อยู่ระหว่างเช่ายืม</x:v>
      </x:c>
      <x:c r="L376"/>
      <x:c r="M376" t="str">
        <x:f>IF(OR(H376="ใช้งานไม่ได้",H376="BROKEN",H376="Broken"),"ใช้งานไม่ได้",IF(OR(H376="ไม่พบในรายการ",H376="MISSING",H376="Missing"),"ไม่พบในรายการ",IF(OR(J376="เช่ายืม",J376="IN_USE",J376="IN-USE",H376="เช่ายืม"),"เช่ายืม",IF(H376="พร้อมส่ง","พร้อมส่ง","รอสอบเทียบ"))))</x:f>
        <x:v>เช่ายืม</x:v>
      </x:c>
    </x:row>
    <x:row r="377">
      <x:c r="A377" t="str">
        <x:v>CESR00036</x:v>
      </x:c>
      <x:c r="B377" t="str">
        <x:v>21123050036</x:v>
      </x:c>
      <x:c r="C377" t="str">
        <x:v>BYOND</x:v>
      </x:c>
      <x:c r="D377" t="str">
        <x:v>Sunfusion Semi-2</x:v>
      </x:c>
      <x:c r="E377" t="str">
        <x:v>Sunfusion Semi-2</x:v>
      </x:c>
      <x:c r="F377" t="str">
        <x:v>BYOND_PUMP</x:v>
      </x:c>
      <x:c r="G377" t="str">
        <x:v>Warehouse</x:v>
      </x:c>
      <x:c r="H377" t="str">
        <x:v>รอสอบเทียบ</x:v>
      </x:c>
      <x:c r="I377" t="str">
        <x:v>รอสอบเทียบ</x:v>
      </x:c>
      <x:c r="J377" t="str">
        <x:v>ไม่มีสัญญา</x:v>
      </x:c>
      <x:c r="K377" t="str">
        <x:v>รอสอบเทียบก่อนพร้อมส่ง</x:v>
      </x:c>
      <x:c r="L377" t="str">
        <x:v>ไม่ได้เช่ายืม = รอสอบเทียบ</x:v>
      </x:c>
      <x:c r="M377" t="str">
        <x:f>IF(OR(H377="ใช้งานไม่ได้",H377="BROKEN",H377="Broken"),"ใช้งานไม่ได้",IF(OR(H377="ไม่พบในรายการ",H377="MISSING",H377="Missing"),"ไม่พบในรายการ",IF(OR(J377="เช่ายืม",J377="IN_USE",J377="IN-USE",H377="เช่ายืม"),"เช่ายืม",IF(H377="พร้อมส่ง","พร้อมส่ง","รอสอบเทียบ"))))</x:f>
        <x:v>รอสอบเทียบ</x:v>
      </x:c>
    </x:row>
    <x:row r="378">
      <x:c r="A378" t="str">
        <x:v>CESR00037</x:v>
      </x:c>
      <x:c r="B378" t="str">
        <x:v>21123050037</x:v>
      </x:c>
      <x:c r="C378" t="str">
        <x:v>BYOND</x:v>
      </x:c>
      <x:c r="D378" t="str">
        <x:v>Sunfusion Semi-2</x:v>
      </x:c>
      <x:c r="E378" t="str">
        <x:v>Sunfusion Semi-2</x:v>
      </x:c>
      <x:c r="F378" t="str">
        <x:v>BYOND_PUMP</x:v>
      </x:c>
      <x:c r="G378" t="str">
        <x:v>GJ</x:v>
      </x:c>
      <x:c r="H378" t="str">
        <x:v>เช่ายืม</x:v>
      </x:c>
      <x:c r="I378" t="str">
        <x:v>พร้อมส่ง</x:v>
      </x:c>
      <x:c r="J378" t="str">
        <x:v>เช่ายืม</x:v>
      </x:c>
      <x:c r="K378" t="str">
        <x:v>อยู่ระหว่างเช่ายืม</x:v>
      </x:c>
      <x:c r="L378"/>
      <x:c r="M378" t="str">
        <x:f>IF(OR(H378="ใช้งานไม่ได้",H378="BROKEN",H378="Broken"),"ใช้งานไม่ได้",IF(OR(H378="ไม่พบในรายการ",H378="MISSING",H378="Missing"),"ไม่พบในรายการ",IF(OR(J378="เช่ายืม",J378="IN_USE",J378="IN-USE",H378="เช่ายืม"),"เช่ายืม",IF(H378="พร้อมส่ง","พร้อมส่ง","รอสอบเทียบ"))))</x:f>
        <x:v>เช่ายืม</x:v>
      </x:c>
    </x:row>
    <x:row r="379">
      <x:c r="A379" t="str">
        <x:v>CESR00038</x:v>
      </x:c>
      <x:c r="B379" t="str">
        <x:v>21123050040</x:v>
      </x:c>
      <x:c r="C379" t="str">
        <x:v>BYOND</x:v>
      </x:c>
      <x:c r="D379" t="str">
        <x:v>Sunfusion Semi-2</x:v>
      </x:c>
      <x:c r="E379" t="str">
        <x:v>Sunfusion Semi-2</x:v>
      </x:c>
      <x:c r="F379" t="str">
        <x:v>BYOND_PUMP</x:v>
      </x:c>
      <x:c r="G379" t="str">
        <x:v>Warehouse</x:v>
      </x:c>
      <x:c r="H379" t="str">
        <x:v>รอสอบเทียบ</x:v>
      </x:c>
      <x:c r="I379" t="str">
        <x:v>รอสอบเทียบ</x:v>
      </x:c>
      <x:c r="J379" t="str">
        <x:v>ไม่มีสัญญา</x:v>
      </x:c>
      <x:c r="K379" t="str">
        <x:v>รอสอบเทียบก่อนพร้อมส่ง</x:v>
      </x:c>
      <x:c r="L379" t="str">
        <x:v>ไม่ได้เช่ายืม = รอสอบเทียบ</x:v>
      </x:c>
      <x:c r="M379" t="str">
        <x:f>IF(OR(H379="ใช้งานไม่ได้",H379="BROKEN",H379="Broken"),"ใช้งานไม่ได้",IF(OR(H379="ไม่พบในรายการ",H379="MISSING",H379="Missing"),"ไม่พบในรายการ",IF(OR(J379="เช่ายืม",J379="IN_USE",J379="IN-USE",H379="เช่ายืม"),"เช่ายืม",IF(H379="พร้อมส่ง","พร้อมส่ง","รอสอบเทียบ"))))</x:f>
        <x:v>รอสอบเทียบ</x:v>
      </x:c>
    </x:row>
    <x:row r="380">
      <x:c r="A380" t="str">
        <x:v>CESR00039</x:v>
      </x:c>
      <x:c r="B380" t="str">
        <x:v>21123050041</x:v>
      </x:c>
      <x:c r="C380" t="str">
        <x:v>BYOND</x:v>
      </x:c>
      <x:c r="D380" t="str">
        <x:v>Sunfusion Semi-2</x:v>
      </x:c>
      <x:c r="E380" t="str">
        <x:v>Sunfusion Semi-2</x:v>
      </x:c>
      <x:c r="F380" t="str">
        <x:v>BYOND_PUMP</x:v>
      </x:c>
      <x:c r="G380" t="str">
        <x:v>Warehouse</x:v>
      </x:c>
      <x:c r="H380" t="str">
        <x:v>รอสอบเทียบ</x:v>
      </x:c>
      <x:c r="I380" t="str">
        <x:v>รอสอบเทียบ</x:v>
      </x:c>
      <x:c r="J380" t="str">
        <x:v>ไม่มีสัญญา</x:v>
      </x:c>
      <x:c r="K380" t="str">
        <x:v>รอสอบเทียบก่อนพร้อมส่ง</x:v>
      </x:c>
      <x:c r="L380" t="str">
        <x:v>ไม่ได้เช่ายืม = รอสอบเทียบ</x:v>
      </x:c>
      <x:c r="M380" t="str">
        <x:f>IF(OR(H380="ใช้งานไม่ได้",H380="BROKEN",H380="Broken"),"ใช้งานไม่ได้",IF(OR(H380="ไม่พบในรายการ",H380="MISSING",H380="Missing"),"ไม่พบในรายการ",IF(OR(J380="เช่ายืม",J380="IN_USE",J380="IN-USE",H380="เช่ายืม"),"เช่ายืม",IF(H380="พร้อมส่ง","พร้อมส่ง","รอสอบเทียบ"))))</x:f>
        <x:v>รอสอบเทียบ</x:v>
      </x:c>
    </x:row>
    <x:row r="381">
      <x:c r="A381" t="str">
        <x:v>CESR00040</x:v>
      </x:c>
      <x:c r="B381" t="str">
        <x:v>21123050042</x:v>
      </x:c>
      <x:c r="C381" t="str">
        <x:v>BYOND</x:v>
      </x:c>
      <x:c r="D381" t="str">
        <x:v>Sunfusion Semi-2</x:v>
      </x:c>
      <x:c r="E381" t="str">
        <x:v>Sunfusion Semi-2</x:v>
      </x:c>
      <x:c r="F381" t="str">
        <x:v>BYOND_PUMP</x:v>
      </x:c>
      <x:c r="G381" t="str">
        <x:v>Warehouse</x:v>
      </x:c>
      <x:c r="H381" t="str">
        <x:v>รอสอบเทียบ</x:v>
      </x:c>
      <x:c r="I381" t="str">
        <x:v>รอสอบเทียบ</x:v>
      </x:c>
      <x:c r="J381" t="str">
        <x:v>ไม่มีสัญญา</x:v>
      </x:c>
      <x:c r="K381" t="str">
        <x:v>รอสอบเทียบก่อนพร้อมส่ง</x:v>
      </x:c>
      <x:c r="L381" t="str">
        <x:v>ไม่ได้เช่ายืม = รอสอบเทียบ</x:v>
      </x:c>
      <x:c r="M381" t="str">
        <x:f>IF(OR(H381="ใช้งานไม่ได้",H381="BROKEN",H381="Broken"),"ใช้งานไม่ได้",IF(OR(H381="ไม่พบในรายการ",H381="MISSING",H381="Missing"),"ไม่พบในรายการ",IF(OR(J381="เช่ายืม",J381="IN_USE",J381="IN-USE",H381="เช่ายืม"),"เช่ายืม",IF(H381="พร้อมส่ง","พร้อมส่ง","รอสอบเทียบ"))))</x:f>
        <x:v>รอสอบเทียบ</x:v>
      </x:c>
    </x:row>
    <x:row r="382">
      <x:c r="A382" t="str">
        <x:v>CESR00041</x:v>
      </x:c>
      <x:c r="B382" t="str">
        <x:v>21123050043</x:v>
      </x:c>
      <x:c r="C382" t="str">
        <x:v>BYOND</x:v>
      </x:c>
      <x:c r="D382" t="str">
        <x:v>Sunfusion Semi-2</x:v>
      </x:c>
      <x:c r="E382" t="str">
        <x:v>Sunfusion Semi-2</x:v>
      </x:c>
      <x:c r="F382" t="str">
        <x:v>BYOND_PUMP</x:v>
      </x:c>
      <x:c r="G382" t="str">
        <x:v>DEMO ศบศ</x:v>
      </x:c>
      <x:c r="H382" t="str">
        <x:v>เช่ายืม</x:v>
      </x:c>
      <x:c r="I382" t="str">
        <x:v>พร้อมส่ง</x:v>
      </x:c>
      <x:c r="J382" t="str">
        <x:v>เช่ายืม</x:v>
      </x:c>
      <x:c r="K382" t="str">
        <x:v>อยู่ระหว่างเช่ายืม / เกินกำหนดคืน 16 วัน</x:v>
      </x:c>
      <x:c r="L382"/>
      <x:c r="M382" t="str">
        <x:f>IF(OR(H382="ใช้งานไม่ได้",H382="BROKEN",H382="Broken"),"ใช้งานไม่ได้",IF(OR(H382="ไม่พบในรายการ",H382="MISSING",H382="Missing"),"ไม่พบในรายการ",IF(OR(J382="เช่ายืม",J382="IN_USE",J382="IN-USE",H382="เช่ายืม"),"เช่ายืม",IF(H382="พร้อมส่ง","พร้อมส่ง","รอสอบเทียบ"))))</x:f>
        <x:v>เช่ายืม</x:v>
      </x:c>
    </x:row>
    <x:row r="383">
      <x:c r="A383" t="str">
        <x:v>CESR00042</x:v>
      </x:c>
      <x:c r="B383" t="str">
        <x:v>21123050045</x:v>
      </x:c>
      <x:c r="C383" t="str">
        <x:v>BYOND</x:v>
      </x:c>
      <x:c r="D383" t="str">
        <x:v>Sunfusion Semi-2</x:v>
      </x:c>
      <x:c r="E383" t="str">
        <x:v>Sunfusion Semi-2</x:v>
      </x:c>
      <x:c r="F383" t="str">
        <x:v>BYOND_PUMP</x:v>
      </x:c>
      <x:c r="G383" t="str">
        <x:v>Warehouse</x:v>
      </x:c>
      <x:c r="H383" t="str">
        <x:v>รอสอบเทียบ</x:v>
      </x:c>
      <x:c r="I383" t="str">
        <x:v>รอสอบเทียบ</x:v>
      </x:c>
      <x:c r="J383" t="str">
        <x:v>ไม่มีสัญญา</x:v>
      </x:c>
      <x:c r="K383" t="str">
        <x:v>รอสอบเทียบก่อนพร้อมส่ง</x:v>
      </x:c>
      <x:c r="L383" t="str">
        <x:v>ไม่ได้เช่ายืม = รอสอบเทียบ</x:v>
      </x:c>
      <x:c r="M383" t="str">
        <x:f>IF(OR(H383="ใช้งานไม่ได้",H383="BROKEN",H383="Broken"),"ใช้งานไม่ได้",IF(OR(H383="ไม่พบในรายการ",H383="MISSING",H383="Missing"),"ไม่พบในรายการ",IF(OR(J383="เช่ายืม",J383="IN_USE",J383="IN-USE",H383="เช่ายืม"),"เช่ายืม",IF(H383="พร้อมส่ง","พร้อมส่ง","รอสอบเทียบ"))))</x:f>
        <x:v>รอสอบเทียบ</x:v>
      </x:c>
    </x:row>
    <x:row r="384">
      <x:c r="A384" t="str">
        <x:v>CESR00043</x:v>
      </x:c>
      <x:c r="B384" t="str">
        <x:v>21123050046</x:v>
      </x:c>
      <x:c r="C384" t="str">
        <x:v>BYOND</x:v>
      </x:c>
      <x:c r="D384" t="str">
        <x:v>Sunfusion Semi-2</x:v>
      </x:c>
      <x:c r="E384" t="str">
        <x:v>Sunfusion Semi-2</x:v>
      </x:c>
      <x:c r="F384" t="str">
        <x:v>BYOND_PUMP</x:v>
      </x:c>
      <x:c r="G384" t="str">
        <x:v>Warehouse</x:v>
      </x:c>
      <x:c r="H384" t="str">
        <x:v>รอสอบเทียบ</x:v>
      </x:c>
      <x:c r="I384" t="str">
        <x:v>รอสอบเทียบ</x:v>
      </x:c>
      <x:c r="J384" t="str">
        <x:v>ไม่มีสัญญา</x:v>
      </x:c>
      <x:c r="K384" t="str">
        <x:v>รอสอบเทียบก่อนพร้อมส่ง</x:v>
      </x:c>
      <x:c r="L384" t="str">
        <x:v>ไม่ได้เช่ายืม = รอสอบเทียบ</x:v>
      </x:c>
      <x:c r="M384" t="str">
        <x:f>IF(OR(H384="ใช้งานไม่ได้",H384="BROKEN",H384="Broken"),"ใช้งานไม่ได้",IF(OR(H384="ไม่พบในรายการ",H384="MISSING",H384="Missing"),"ไม่พบในรายการ",IF(OR(J384="เช่ายืม",J384="IN_USE",J384="IN-USE",H384="เช่ายืม"),"เช่ายืม",IF(H384="พร้อมส่ง","พร้อมส่ง","รอสอบเทียบ"))))</x:f>
        <x:v>รอสอบเทียบ</x:v>
      </x:c>
    </x:row>
    <x:row r="385">
      <x:c r="A385" t="str">
        <x:v>CESR00044</x:v>
      </x:c>
      <x:c r="B385" t="str">
        <x:v>21123050047</x:v>
      </x:c>
      <x:c r="C385" t="str">
        <x:v>BYOND</x:v>
      </x:c>
      <x:c r="D385" t="str">
        <x:v>Sunfusion Semi-2</x:v>
      </x:c>
      <x:c r="E385" t="str">
        <x:v>Sunfusion Semi-2</x:v>
      </x:c>
      <x:c r="F385" t="str">
        <x:v>BYOND_PUMP</x:v>
      </x:c>
      <x:c r="G385" t="str">
        <x:v>Warehouse</x:v>
      </x:c>
      <x:c r="H385" t="str">
        <x:v>รอสอบเทียบ</x:v>
      </x:c>
      <x:c r="I385" t="str">
        <x:v>รอสอบเทียบ</x:v>
      </x:c>
      <x:c r="J385" t="str">
        <x:v>ไม่มีสัญญา</x:v>
      </x:c>
      <x:c r="K385" t="str">
        <x:v>รอสอบเทียบก่อนพร้อมส่ง</x:v>
      </x:c>
      <x:c r="L385" t="str">
        <x:v>ไม่ได้เช่ายืม = รอสอบเทียบ</x:v>
      </x:c>
      <x:c r="M385" t="str">
        <x:f>IF(OR(H385="ใช้งานไม่ได้",H385="BROKEN",H385="Broken"),"ใช้งานไม่ได้",IF(OR(H385="ไม่พบในรายการ",H385="MISSING",H385="Missing"),"ไม่พบในรายการ",IF(OR(J385="เช่ายืม",J385="IN_USE",J385="IN-USE",H385="เช่ายืม"),"เช่ายืม",IF(H385="พร้อมส่ง","พร้อมส่ง","รอสอบเทียบ"))))</x:f>
        <x:v>รอสอบเทียบ</x:v>
      </x:c>
    </x:row>
    <x:row r="386">
      <x:c r="A386" t="str">
        <x:v>CESR00045</x:v>
      </x:c>
      <x:c r="B386" t="str">
        <x:v>21123050048</x:v>
      </x:c>
      <x:c r="C386" t="str">
        <x:v>BYOND</x:v>
      </x:c>
      <x:c r="D386" t="str">
        <x:v>Sunfusion Semi-2</x:v>
      </x:c>
      <x:c r="E386" t="str">
        <x:v>Sunfusion Semi-2</x:v>
      </x:c>
      <x:c r="F386" t="str">
        <x:v>BYOND_PUMP</x:v>
      </x:c>
      <x:c r="G386" t="str">
        <x:v>GJ</x:v>
      </x:c>
      <x:c r="H386" t="str">
        <x:v>เช่ายืม</x:v>
      </x:c>
      <x:c r="I386" t="str">
        <x:v>พร้อมส่ง</x:v>
      </x:c>
      <x:c r="J386" t="str">
        <x:v>เช่ายืม</x:v>
      </x:c>
      <x:c r="K386" t="str">
        <x:v>อยู่ระหว่างเช่ายืม</x:v>
      </x:c>
      <x:c r="L386"/>
      <x:c r="M386" t="str">
        <x:f>IF(OR(H386="ใช้งานไม่ได้",H386="BROKEN",H386="Broken"),"ใช้งานไม่ได้",IF(OR(H386="ไม่พบในรายการ",H386="MISSING",H386="Missing"),"ไม่พบในรายการ",IF(OR(J386="เช่ายืม",J386="IN_USE",J386="IN-USE",H386="เช่ายืม"),"เช่ายืม",IF(H386="พร้อมส่ง","พร้อมส่ง","รอสอบเทียบ"))))</x:f>
        <x:v>เช่ายืม</x:v>
      </x:c>
    </x:row>
    <x:row r="387">
      <x:c r="A387" t="str">
        <x:v>CESR00046</x:v>
      </x:c>
      <x:c r="B387" t="str">
        <x:v>21123050049</x:v>
      </x:c>
      <x:c r="C387" t="str">
        <x:v>BYOND</x:v>
      </x:c>
      <x:c r="D387" t="str">
        <x:v>Sunfusion Semi-2</x:v>
      </x:c>
      <x:c r="E387" t="str">
        <x:v>Sunfusion Semi-2</x:v>
      </x:c>
      <x:c r="F387" t="str">
        <x:v>BYOND_PUMP</x:v>
      </x:c>
      <x:c r="G387" t="str">
        <x:v>GJ</x:v>
      </x:c>
      <x:c r="H387" t="str">
        <x:v>เช่ายืม</x:v>
      </x:c>
      <x:c r="I387" t="str">
        <x:v>พร้อมส่ง</x:v>
      </x:c>
      <x:c r="J387" t="str">
        <x:v>เช่ายืม</x:v>
      </x:c>
      <x:c r="K387" t="str">
        <x:v>อยู่ระหว่างเช่ายืม</x:v>
      </x:c>
      <x:c r="L387"/>
      <x:c r="M387" t="str">
        <x:f>IF(OR(H387="ใช้งานไม่ได้",H387="BROKEN",H387="Broken"),"ใช้งานไม่ได้",IF(OR(H387="ไม่พบในรายการ",H387="MISSING",H387="Missing"),"ไม่พบในรายการ",IF(OR(J387="เช่ายืม",J387="IN_USE",J387="IN-USE",H387="เช่ายืม"),"เช่ายืม",IF(H387="พร้อมส่ง","พร้อมส่ง","รอสอบเทียบ"))))</x:f>
        <x:v>เช่ายืม</x:v>
      </x:c>
    </x:row>
    <x:row r="388">
      <x:c r="A388" t="str">
        <x:v>CESR00047</x:v>
      </x:c>
      <x:c r="B388" t="str">
        <x:v>21123050051</x:v>
      </x:c>
      <x:c r="C388" t="str">
        <x:v>BYOND</x:v>
      </x:c>
      <x:c r="D388" t="str">
        <x:v>Sunfusion Semi-2</x:v>
      </x:c>
      <x:c r="E388" t="str">
        <x:v>Sunfusion Semi-2</x:v>
      </x:c>
      <x:c r="F388" t="str">
        <x:v>BYOND_PUMP</x:v>
      </x:c>
      <x:c r="G388" t="str">
        <x:v>Warehouse</x:v>
      </x:c>
      <x:c r="H388" t="str">
        <x:v>รอสอบเทียบ</x:v>
      </x:c>
      <x:c r="I388" t="str">
        <x:v>รอสอบเทียบ</x:v>
      </x:c>
      <x:c r="J388" t="str">
        <x:v>ไม่มีสัญญา</x:v>
      </x:c>
      <x:c r="K388" t="str">
        <x:v>รอสอบเทียบก่อนพร้อมส่ง</x:v>
      </x:c>
      <x:c r="L388" t="str">
        <x:v>ไม่ได้เช่ายืม = รอสอบเทียบ</x:v>
      </x:c>
      <x:c r="M388" t="str">
        <x:f>IF(OR(H388="ใช้งานไม่ได้",H388="BROKEN",H388="Broken"),"ใช้งานไม่ได้",IF(OR(H388="ไม่พบในรายการ",H388="MISSING",H388="Missing"),"ไม่พบในรายการ",IF(OR(J388="เช่ายืม",J388="IN_USE",J388="IN-USE",H388="เช่ายืม"),"เช่ายืม",IF(H388="พร้อมส่ง","พร้อมส่ง","รอสอบเทียบ"))))</x:f>
        <x:v>รอสอบเทียบ</x:v>
      </x:c>
    </x:row>
    <x:row r="389">
      <x:c r="A389" t="str">
        <x:v>CESR00048</x:v>
      </x:c>
      <x:c r="B389" t="str">
        <x:v>21123050053</x:v>
      </x:c>
      <x:c r="C389" t="str">
        <x:v>BYOND</x:v>
      </x:c>
      <x:c r="D389" t="str">
        <x:v>Sunfusion Semi-2</x:v>
      </x:c>
      <x:c r="E389" t="str">
        <x:v>Sunfusion Semi-2</x:v>
      </x:c>
      <x:c r="F389" t="str">
        <x:v>BYOND_PUMP</x:v>
      </x:c>
      <x:c r="G389" t="str">
        <x:v>Warehouse</x:v>
      </x:c>
      <x:c r="H389" t="str">
        <x:v>รอสอบเทียบ</x:v>
      </x:c>
      <x:c r="I389" t="str">
        <x:v>รอสอบเทียบ</x:v>
      </x:c>
      <x:c r="J389" t="str">
        <x:v>ไม่มีสัญญา</x:v>
      </x:c>
      <x:c r="K389" t="str">
        <x:v>รอสอบเทียบก่อนพร้อมส่ง</x:v>
      </x:c>
      <x:c r="L389" t="str">
        <x:v>ไม่ได้เช่ายืม = รอสอบเทียบ</x:v>
      </x:c>
      <x:c r="M389" t="str">
        <x:f>IF(OR(H389="ใช้งานไม่ได้",H389="BROKEN",H389="Broken"),"ใช้งานไม่ได้",IF(OR(H389="ไม่พบในรายการ",H389="MISSING",H389="Missing"),"ไม่พบในรายการ",IF(OR(J389="เช่ายืม",J389="IN_USE",J389="IN-USE",H389="เช่ายืม"),"เช่ายืม",IF(H389="พร้อมส่ง","พร้อมส่ง","รอสอบเทียบ"))))</x:f>
        <x:v>รอสอบเทียบ</x:v>
      </x:c>
    </x:row>
    <x:row r="390">
      <x:c r="A390" t="str">
        <x:v>CESR00049</x:v>
      </x:c>
      <x:c r="B390" t="str">
        <x:v>21123050054</x:v>
      </x:c>
      <x:c r="C390" t="str">
        <x:v>BYOND</x:v>
      </x:c>
      <x:c r="D390" t="str">
        <x:v>Sunfusion Semi-2</x:v>
      </x:c>
      <x:c r="E390" t="str">
        <x:v>Sunfusion Semi-2</x:v>
      </x:c>
      <x:c r="F390" t="str">
        <x:v>BYOND_PUMP</x:v>
      </x:c>
      <x:c r="G390" t="str">
        <x:v>Warehouse</x:v>
      </x:c>
      <x:c r="H390" t="str">
        <x:v>รอสอบเทียบ</x:v>
      </x:c>
      <x:c r="I390" t="str">
        <x:v>รอสอบเทียบ</x:v>
      </x:c>
      <x:c r="J390" t="str">
        <x:v>ไม่มีสัญญา</x:v>
      </x:c>
      <x:c r="K390" t="str">
        <x:v>รอสอบเทียบก่อนพร้อมส่ง</x:v>
      </x:c>
      <x:c r="L390" t="str">
        <x:v>ไม่ได้เช่ายืม = รอสอบเทียบ</x:v>
      </x:c>
      <x:c r="M390" t="str">
        <x:f>IF(OR(H390="ใช้งานไม่ได้",H390="BROKEN",H390="Broken"),"ใช้งานไม่ได้",IF(OR(H390="ไม่พบในรายการ",H390="MISSING",H390="Missing"),"ไม่พบในรายการ",IF(OR(J390="เช่ายืม",J390="IN_USE",J390="IN-USE",H390="เช่ายืม"),"เช่ายืม",IF(H390="พร้อมส่ง","พร้อมส่ง","รอสอบเทียบ"))))</x:f>
        <x:v>รอสอบเทียบ</x:v>
      </x:c>
    </x:row>
    <x:row r="391">
      <x:c r="A391" t="str">
        <x:v>CESR00050</x:v>
      </x:c>
      <x:c r="B391" t="str">
        <x:v>21123050055</x:v>
      </x:c>
      <x:c r="C391" t="str">
        <x:v>BYOND</x:v>
      </x:c>
      <x:c r="D391" t="str">
        <x:v>Sunfusion Semi-2</x:v>
      </x:c>
      <x:c r="E391" t="str">
        <x:v>Sunfusion Semi-2</x:v>
      </x:c>
      <x:c r="F391" t="str">
        <x:v>BYOND_PUMP</x:v>
      </x:c>
      <x:c r="G391" t="str">
        <x:v>Warehouse</x:v>
      </x:c>
      <x:c r="H391" t="str">
        <x:v>รอสอบเทียบ</x:v>
      </x:c>
      <x:c r="I391" t="str">
        <x:v>รอสอบเทียบ</x:v>
      </x:c>
      <x:c r="J391" t="str">
        <x:v>ไม่มีสัญญา</x:v>
      </x:c>
      <x:c r="K391" t="str">
        <x:v>รอสอบเทียบก่อนพร้อมส่ง</x:v>
      </x:c>
      <x:c r="L391" t="str">
        <x:v>ไม่ได้เช่ายืม = รอสอบเทียบ</x:v>
      </x:c>
      <x:c r="M391" t="str">
        <x:f>IF(OR(H391="ใช้งานไม่ได้",H391="BROKEN",H391="Broken"),"ใช้งานไม่ได้",IF(OR(H391="ไม่พบในรายการ",H391="MISSING",H391="Missing"),"ไม่พบในรายการ",IF(OR(J391="เช่ายืม",J391="IN_USE",J391="IN-USE",H391="เช่ายืม"),"เช่ายืม",IF(H391="พร้อมส่ง","พร้อมส่ง","รอสอบเทียบ"))))</x:f>
        <x:v>รอสอบเทียบ</x:v>
      </x:c>
    </x:row>
    <x:row r="392">
      <x:c r="A392" t="str">
        <x:v>CESR00051</x:v>
      </x:c>
      <x:c r="B392" t="str">
        <x:v>21123050056</x:v>
      </x:c>
      <x:c r="C392" t="str">
        <x:v>BYOND</x:v>
      </x:c>
      <x:c r="D392" t="str">
        <x:v>Sunfusion Semi-2</x:v>
      </x:c>
      <x:c r="E392" t="str">
        <x:v>Sunfusion Semi-2</x:v>
      </x:c>
      <x:c r="F392" t="str">
        <x:v>BYOND_PUMP</x:v>
      </x:c>
      <x:c r="G392" t="str">
        <x:v>Warehouse</x:v>
      </x:c>
      <x:c r="H392" t="str">
        <x:v>รอสอบเทียบ</x:v>
      </x:c>
      <x:c r="I392" t="str">
        <x:v>รอสอบเทียบ</x:v>
      </x:c>
      <x:c r="J392" t="str">
        <x:v>ไม่มีสัญญา</x:v>
      </x:c>
      <x:c r="K392" t="str">
        <x:v>รอสอบเทียบก่อนพร้อมส่ง</x:v>
      </x:c>
      <x:c r="L392" t="str">
        <x:v>ไม่ได้เช่ายืม = รอสอบเทียบ</x:v>
      </x:c>
      <x:c r="M392" t="str">
        <x:f>IF(OR(H392="ใช้งานไม่ได้",H392="BROKEN",H392="Broken"),"ใช้งานไม่ได้",IF(OR(H392="ไม่พบในรายการ",H392="MISSING",H392="Missing"),"ไม่พบในรายการ",IF(OR(J392="เช่ายืม",J392="IN_USE",J392="IN-USE",H392="เช่ายืม"),"เช่ายืม",IF(H392="พร้อมส่ง","พร้อมส่ง","รอสอบเทียบ"))))</x:f>
        <x:v>รอสอบเทียบ</x:v>
      </x:c>
    </x:row>
    <x:row r="393">
      <x:c r="A393" t="str">
        <x:v>CESR00052</x:v>
      </x:c>
      <x:c r="B393" t="str">
        <x:v>21123050057</x:v>
      </x:c>
      <x:c r="C393" t="str">
        <x:v>BYOND</x:v>
      </x:c>
      <x:c r="D393" t="str">
        <x:v>Sunfusion Semi-2</x:v>
      </x:c>
      <x:c r="E393" t="str">
        <x:v>Sunfusion Semi-2</x:v>
      </x:c>
      <x:c r="F393" t="str">
        <x:v>BYOND_PUMP</x:v>
      </x:c>
      <x:c r="G393" t="str">
        <x:v>GJ</x:v>
      </x:c>
      <x:c r="H393" t="str">
        <x:v>เช่ายืม</x:v>
      </x:c>
      <x:c r="I393" t="str">
        <x:v>พร้อมส่ง</x:v>
      </x:c>
      <x:c r="J393" t="str">
        <x:v>เช่ายืม</x:v>
      </x:c>
      <x:c r="K393" t="str">
        <x:v>อยู่ระหว่างเช่ายืม</x:v>
      </x:c>
      <x:c r="L393"/>
      <x:c r="M393" t="str">
        <x:f>IF(OR(H393="ใช้งานไม่ได้",H393="BROKEN",H393="Broken"),"ใช้งานไม่ได้",IF(OR(H393="ไม่พบในรายการ",H393="MISSING",H393="Missing"),"ไม่พบในรายการ",IF(OR(J393="เช่ายืม",J393="IN_USE",J393="IN-USE",H393="เช่ายืม"),"เช่ายืม",IF(H393="พร้อมส่ง","พร้อมส่ง","รอสอบเทียบ"))))</x:f>
        <x:v>เช่ายืม</x:v>
      </x:c>
    </x:row>
    <x:row r="394">
      <x:c r="A394" t="str">
        <x:v>CESR00053</x:v>
      </x:c>
      <x:c r="B394" t="str">
        <x:v>21123050058</x:v>
      </x:c>
      <x:c r="C394" t="str">
        <x:v>BYOND</x:v>
      </x:c>
      <x:c r="D394" t="str">
        <x:v>Sunfusion Semi-2</x:v>
      </x:c>
      <x:c r="E394" t="str">
        <x:v>Sunfusion Semi-2</x:v>
      </x:c>
      <x:c r="F394" t="str">
        <x:v>BYOND_PUMP</x:v>
      </x:c>
      <x:c r="G394" t="str">
        <x:v>Warehouse</x:v>
      </x:c>
      <x:c r="H394" t="str">
        <x:v>รอสอบเทียบ</x:v>
      </x:c>
      <x:c r="I394" t="str">
        <x:v>รอสอบเทียบ</x:v>
      </x:c>
      <x:c r="J394" t="str">
        <x:v>ไม่มีสัญญา</x:v>
      </x:c>
      <x:c r="K394" t="str">
        <x:v>รอสอบเทียบก่อนพร้อมส่ง</x:v>
      </x:c>
      <x:c r="L394" t="str">
        <x:v>ไม่ได้เช่ายืม = รอสอบเทียบ</x:v>
      </x:c>
      <x:c r="M394" t="str">
        <x:f>IF(OR(H394="ใช้งานไม่ได้",H394="BROKEN",H394="Broken"),"ใช้งานไม่ได้",IF(OR(H394="ไม่พบในรายการ",H394="MISSING",H394="Missing"),"ไม่พบในรายการ",IF(OR(J394="เช่ายืม",J394="IN_USE",J394="IN-USE",H394="เช่ายืม"),"เช่ายืม",IF(H394="พร้อมส่ง","พร้อมส่ง","รอสอบเทียบ"))))</x:f>
        <x:v>รอสอบเทียบ</x:v>
      </x:c>
    </x:row>
    <x:row r="395">
      <x:c r="A395" t="str">
        <x:v>CESR00054</x:v>
      </x:c>
      <x:c r="B395" t="str">
        <x:v>21123050059</x:v>
      </x:c>
      <x:c r="C395" t="str">
        <x:v>BYOND</x:v>
      </x:c>
      <x:c r="D395" t="str">
        <x:v>Sunfusion Semi-2</x:v>
      </x:c>
      <x:c r="E395" t="str">
        <x:v>Sunfusion Semi-2</x:v>
      </x:c>
      <x:c r="F395" t="str">
        <x:v>BYOND_PUMP</x:v>
      </x:c>
      <x:c r="G395" t="str">
        <x:v>Warehouse</x:v>
      </x:c>
      <x:c r="H395" t="str">
        <x:v>รอสอบเทียบ</x:v>
      </x:c>
      <x:c r="I395" t="str">
        <x:v>รอสอบเทียบ</x:v>
      </x:c>
      <x:c r="J395" t="str">
        <x:v>ไม่มีสัญญา</x:v>
      </x:c>
      <x:c r="K395" t="str">
        <x:v>รอสอบเทียบก่อนพร้อมส่ง</x:v>
      </x:c>
      <x:c r="L395" t="str">
        <x:v>ไม่ได้เช่ายืม = รอสอบเทียบ</x:v>
      </x:c>
      <x:c r="M395" t="str">
        <x:f>IF(OR(H395="ใช้งานไม่ได้",H395="BROKEN",H395="Broken"),"ใช้งานไม่ได้",IF(OR(H395="ไม่พบในรายการ",H395="MISSING",H395="Missing"),"ไม่พบในรายการ",IF(OR(J395="เช่ายืม",J395="IN_USE",J395="IN-USE",H395="เช่ายืม"),"เช่ายืม",IF(H395="พร้อมส่ง","พร้อมส่ง","รอสอบเทียบ"))))</x:f>
        <x:v>รอสอบเทียบ</x:v>
      </x:c>
    </x:row>
    <x:row r="396">
      <x:c r="A396" t="str">
        <x:v>CESR00055</x:v>
      </x:c>
      <x:c r="B396" t="str">
        <x:v>21123050060</x:v>
      </x:c>
      <x:c r="C396" t="str">
        <x:v>BYOND</x:v>
      </x:c>
      <x:c r="D396" t="str">
        <x:v>Sunfusion Semi-2</x:v>
      </x:c>
      <x:c r="E396" t="str">
        <x:v>Sunfusion Semi-2</x:v>
      </x:c>
      <x:c r="F396" t="str">
        <x:v>BYOND_PUMP</x:v>
      </x:c>
      <x:c r="G396" t="str">
        <x:v>GJ</x:v>
      </x:c>
      <x:c r="H396" t="str">
        <x:v>เช่ายืม</x:v>
      </x:c>
      <x:c r="I396" t="str">
        <x:v>พร้อมส่ง</x:v>
      </x:c>
      <x:c r="J396" t="str">
        <x:v>เช่ายืม</x:v>
      </x:c>
      <x:c r="K396" t="str">
        <x:v>อยู่ระหว่างเช่ายืม</x:v>
      </x:c>
      <x:c r="L396"/>
      <x:c r="M396" t="str">
        <x:f>IF(OR(H396="ใช้งานไม่ได้",H396="BROKEN",H396="Broken"),"ใช้งานไม่ได้",IF(OR(H396="ไม่พบในรายการ",H396="MISSING",H396="Missing"),"ไม่พบในรายการ",IF(OR(J396="เช่ายืม",J396="IN_USE",J396="IN-USE",H396="เช่ายืม"),"เช่ายืม",IF(H396="พร้อมส่ง","พร้อมส่ง","รอสอบเทียบ"))))</x:f>
        <x:v>เช่ายืม</x:v>
      </x:c>
    </x:row>
    <x:row r="397">
      <x:c r="A397" t="str">
        <x:v>CESR00056</x:v>
      </x:c>
      <x:c r="B397" t="str">
        <x:v>21123050062</x:v>
      </x:c>
      <x:c r="C397" t="str">
        <x:v>BYOND</x:v>
      </x:c>
      <x:c r="D397" t="str">
        <x:v>Sunfusion Semi-2</x:v>
      </x:c>
      <x:c r="E397" t="str">
        <x:v>Sunfusion Semi-2</x:v>
      </x:c>
      <x:c r="F397" t="str">
        <x:v>BYOND_PUMP</x:v>
      </x:c>
      <x:c r="G397" t="str">
        <x:v>GJ</x:v>
      </x:c>
      <x:c r="H397" t="str">
        <x:v>เช่ายืม</x:v>
      </x:c>
      <x:c r="I397" t="str">
        <x:v>พร้อมส่ง</x:v>
      </x:c>
      <x:c r="J397" t="str">
        <x:v>เช่ายืม</x:v>
      </x:c>
      <x:c r="K397" t="str">
        <x:v>อยู่ระหว่างเช่ายืม</x:v>
      </x:c>
      <x:c r="L397"/>
      <x:c r="M397" t="str">
        <x:f>IF(OR(H397="ใช้งานไม่ได้",H397="BROKEN",H397="Broken"),"ใช้งานไม่ได้",IF(OR(H397="ไม่พบในรายการ",H397="MISSING",H397="Missing"),"ไม่พบในรายการ",IF(OR(J397="เช่ายืม",J397="IN_USE",J397="IN-USE",H397="เช่ายืม"),"เช่ายืม",IF(H397="พร้อมส่ง","พร้อมส่ง","รอสอบเทียบ"))))</x:f>
        <x:v>เช่ายืม</x:v>
      </x:c>
    </x:row>
    <x:row r="398">
      <x:c r="A398" t="str">
        <x:v>CESR00057</x:v>
      </x:c>
      <x:c r="B398" t="str">
        <x:v>21123050064</x:v>
      </x:c>
      <x:c r="C398" t="str">
        <x:v>BYOND</x:v>
      </x:c>
      <x:c r="D398" t="str">
        <x:v>Sunfusion Semi-2</x:v>
      </x:c>
      <x:c r="E398" t="str">
        <x:v>Sunfusion Semi-2</x:v>
      </x:c>
      <x:c r="F398" t="str">
        <x:v>BYOND_PUMP</x:v>
      </x:c>
      <x:c r="G398" t="str">
        <x:v>Warehouse</x:v>
      </x:c>
      <x:c r="H398" t="str">
        <x:v>รอสอบเทียบ</x:v>
      </x:c>
      <x:c r="I398" t="str">
        <x:v>รอสอบเทียบ</x:v>
      </x:c>
      <x:c r="J398" t="str">
        <x:v>ไม่มีสัญญา</x:v>
      </x:c>
      <x:c r="K398" t="str">
        <x:v>รอสอบเทียบก่อนพร้อมส่ง</x:v>
      </x:c>
      <x:c r="L398" t="str">
        <x:v>ไม่ได้เช่ายืม = รอสอบเทียบ</x:v>
      </x:c>
      <x:c r="M398" t="str">
        <x:f>IF(OR(H398="ใช้งานไม่ได้",H398="BROKEN",H398="Broken"),"ใช้งานไม่ได้",IF(OR(H398="ไม่พบในรายการ",H398="MISSING",H398="Missing"),"ไม่พบในรายการ",IF(OR(J398="เช่ายืม",J398="IN_USE",J398="IN-USE",H398="เช่ายืม"),"เช่ายืม",IF(H398="พร้อมส่ง","พร้อมส่ง","รอสอบเทียบ"))))</x:f>
        <x:v>รอสอบเทียบ</x:v>
      </x:c>
    </x:row>
    <x:row r="399">
      <x:c r="A399" t="str">
        <x:v>CESR00058</x:v>
      </x:c>
      <x:c r="B399" t="str">
        <x:v>21122120489</x:v>
      </x:c>
      <x:c r="C399" t="str">
        <x:v>BYOND</x:v>
      </x:c>
      <x:c r="D399" t="str">
        <x:v>Sunfusion Semi-2</x:v>
      </x:c>
      <x:c r="E399" t="str">
        <x:v>Sunfusion Semi-2</x:v>
      </x:c>
      <x:c r="F399" t="str">
        <x:v>BYOND_PUMP</x:v>
      </x:c>
      <x:c r="G399" t="str">
        <x:v>Warehouse</x:v>
      </x:c>
      <x:c r="H399" t="str">
        <x:v>รอสอบเทียบ</x:v>
      </x:c>
      <x:c r="I399" t="str">
        <x:v>รอสอบเทียบ</x:v>
      </x:c>
      <x:c r="J399" t="str">
        <x:v>ไม่มีสัญญา</x:v>
      </x:c>
      <x:c r="K399" t="str">
        <x:v>รอสอบเทียบก่อนพร้อมส่ง</x:v>
      </x:c>
      <x:c r="L399" t="str">
        <x:v>ไม่ได้เช่ายืม = รอสอบเทียบ</x:v>
      </x:c>
      <x:c r="M399" t="str">
        <x:f>IF(OR(H399="ใช้งานไม่ได้",H399="BROKEN",H399="Broken"),"ใช้งานไม่ได้",IF(OR(H399="ไม่พบในรายการ",H399="MISSING",H399="Missing"),"ไม่พบในรายการ",IF(OR(J399="เช่ายืม",J399="IN_USE",J399="IN-USE",H399="เช่ายืม"),"เช่ายืม",IF(H399="พร้อมส่ง","พร้อมส่ง","รอสอบเทียบ"))))</x:f>
        <x:v>รอสอบเทียบ</x:v>
      </x:c>
    </x:row>
    <x:row r="400">
      <x:c r="A400" t="str">
        <x:v>CESR00059</x:v>
      </x:c>
      <x:c r="B400" t="str">
        <x:v>21123050066</x:v>
      </x:c>
      <x:c r="C400" t="str">
        <x:v>BYOND</x:v>
      </x:c>
      <x:c r="D400" t="str">
        <x:v>Sunfusion Semi-2</x:v>
      </x:c>
      <x:c r="E400" t="str">
        <x:v>Sunfusion Semi-2</x:v>
      </x:c>
      <x:c r="F400" t="str">
        <x:v>BYOND_PUMP</x:v>
      </x:c>
      <x:c r="G400" t="str">
        <x:v>GJ</x:v>
      </x:c>
      <x:c r="H400" t="str">
        <x:v>เช่ายืม</x:v>
      </x:c>
      <x:c r="I400" t="str">
        <x:v>พร้อมส่ง</x:v>
      </x:c>
      <x:c r="J400" t="str">
        <x:v>เช่ายืม</x:v>
      </x:c>
      <x:c r="K400" t="str">
        <x:v>อยู่ระหว่างเช่ายืม</x:v>
      </x:c>
      <x:c r="L400"/>
      <x:c r="M400" t="str">
        <x:f>IF(OR(H400="ใช้งานไม่ได้",H400="BROKEN",H400="Broken"),"ใช้งานไม่ได้",IF(OR(H400="ไม่พบในรายการ",H400="MISSING",H400="Missing"),"ไม่พบในรายการ",IF(OR(J400="เช่ายืม",J400="IN_USE",J400="IN-USE",H400="เช่ายืม"),"เช่ายืม",IF(H400="พร้อมส่ง","พร้อมส่ง","รอสอบเทียบ"))))</x:f>
        <x:v>เช่ายืม</x:v>
      </x:c>
    </x:row>
    <x:row r="401">
      <x:c r="A401" t="str">
        <x:v>CESR00060</x:v>
      </x:c>
      <x:c r="B401" t="str">
        <x:v>21123050067</x:v>
      </x:c>
      <x:c r="C401" t="str">
        <x:v>BYOND</x:v>
      </x:c>
      <x:c r="D401" t="str">
        <x:v>Sunfusion Semi-2</x:v>
      </x:c>
      <x:c r="E401" t="str">
        <x:v>Sunfusion Semi-2</x:v>
      </x:c>
      <x:c r="F401" t="str">
        <x:v>BYOND_PUMP</x:v>
      </x:c>
      <x:c r="G401" t="str">
        <x:v>Warehouse</x:v>
      </x:c>
      <x:c r="H401" t="str">
        <x:v>รอสอบเทียบ</x:v>
      </x:c>
      <x:c r="I401" t="str">
        <x:v>รอสอบเทียบ</x:v>
      </x:c>
      <x:c r="J401" t="str">
        <x:v>ไม่มีสัญญา</x:v>
      </x:c>
      <x:c r="K401" t="str">
        <x:v>รอสอบเทียบก่อนพร้อมส่ง</x:v>
      </x:c>
      <x:c r="L401" t="str">
        <x:v>ไม่ได้เช่ายืม = รอสอบเทียบ</x:v>
      </x:c>
      <x:c r="M401" t="str">
        <x:f>IF(OR(H401="ใช้งานไม่ได้",H401="BROKEN",H401="Broken"),"ใช้งานไม่ได้",IF(OR(H401="ไม่พบในรายการ",H401="MISSING",H401="Missing"),"ไม่พบในรายการ",IF(OR(J401="เช่ายืม",J401="IN_USE",J401="IN-USE",H401="เช่ายืม"),"เช่ายืม",IF(H401="พร้อมส่ง","พร้อมส่ง","รอสอบเทียบ"))))</x:f>
        <x:v>รอสอบเทียบ</x:v>
      </x:c>
    </x:row>
    <x:row r="402">
      <x:c r="A402" t="str">
        <x:v>CESR00061</x:v>
      </x:c>
      <x:c r="B402" t="str">
        <x:v>21123050068</x:v>
      </x:c>
      <x:c r="C402" t="str">
        <x:v>BYOND</x:v>
      </x:c>
      <x:c r="D402" t="str">
        <x:v>Sunfusion Semi-2</x:v>
      </x:c>
      <x:c r="E402" t="str">
        <x:v>Sunfusion Semi-2</x:v>
      </x:c>
      <x:c r="F402" t="str">
        <x:v>BYOND_PUMP</x:v>
      </x:c>
      <x:c r="G402" t="str">
        <x:v>GJ</x:v>
      </x:c>
      <x:c r="H402" t="str">
        <x:v>เช่ายืม</x:v>
      </x:c>
      <x:c r="I402" t="str">
        <x:v>พร้อมส่ง</x:v>
      </x:c>
      <x:c r="J402" t="str">
        <x:v>เช่ายืม</x:v>
      </x:c>
      <x:c r="K402" t="str">
        <x:v>อยู่ระหว่างเช่ายืม</x:v>
      </x:c>
      <x:c r="L402"/>
      <x:c r="M402" t="str">
        <x:f>IF(OR(H402="ใช้งานไม่ได้",H402="BROKEN",H402="Broken"),"ใช้งานไม่ได้",IF(OR(H402="ไม่พบในรายการ",H402="MISSING",H402="Missing"),"ไม่พบในรายการ",IF(OR(J402="เช่ายืม",J402="IN_USE",J402="IN-USE",H402="เช่ายืม"),"เช่ายืม",IF(H402="พร้อมส่ง","พร้อมส่ง","รอสอบเทียบ"))))</x:f>
        <x:v>เช่ายืม</x:v>
      </x:c>
    </x:row>
    <x:row r="403">
      <x:c r="A403" t="str">
        <x:v>CESR00062</x:v>
      </x:c>
      <x:c r="B403" t="str">
        <x:v>21123050070</x:v>
      </x:c>
      <x:c r="C403" t="str">
        <x:v>BYOND</x:v>
      </x:c>
      <x:c r="D403" t="str">
        <x:v>Sunfusion Semi-2</x:v>
      </x:c>
      <x:c r="E403" t="str">
        <x:v>Sunfusion Semi-2</x:v>
      </x:c>
      <x:c r="F403" t="str">
        <x:v>BYOND_PUMP</x:v>
      </x:c>
      <x:c r="G403" t="str">
        <x:v>Duangjai Boontanom</x:v>
      </x:c>
      <x:c r="H403" t="str">
        <x:v>เช่ายืม</x:v>
      </x:c>
      <x:c r="I403" t="str">
        <x:v>พร้อมส่ง</x:v>
      </x:c>
      <x:c r="J403" t="str">
        <x:v>เช่ายืม</x:v>
      </x:c>
      <x:c r="K403" t="str">
        <x:v>อยู่ระหว่างเช่ายืม / เกินกำหนดคืน 312 วัน</x:v>
      </x:c>
      <x:c r="L403"/>
      <x:c r="M403" t="str">
        <x:f>IF(OR(H403="ใช้งานไม่ได้",H403="BROKEN",H403="Broken"),"ใช้งานไม่ได้",IF(OR(H403="ไม่พบในรายการ",H403="MISSING",H403="Missing"),"ไม่พบในรายการ",IF(OR(J403="เช่ายืม",J403="IN_USE",J403="IN-USE",H403="เช่ายืม"),"เช่ายืม",IF(H403="พร้อมส่ง","พร้อมส่ง","รอสอบเทียบ"))))</x:f>
        <x:v>เช่ายืม</x:v>
      </x:c>
    </x:row>
    <x:row r="404">
      <x:c r="A404" t="str">
        <x:v>CESR00063</x:v>
      </x:c>
      <x:c r="B404" t="str">
        <x:v>21123050072</x:v>
      </x:c>
      <x:c r="C404" t="str">
        <x:v>BYOND</x:v>
      </x:c>
      <x:c r="D404" t="str">
        <x:v>Sunfusion Semi-2</x:v>
      </x:c>
      <x:c r="E404" t="str">
        <x:v>Sunfusion Semi-2</x:v>
      </x:c>
      <x:c r="F404" t="str">
        <x:v>BYOND_PUMP</x:v>
      </x:c>
      <x:c r="G404" t="str">
        <x:v>Warehouse</x:v>
      </x:c>
      <x:c r="H404" t="str">
        <x:v>รอสอบเทียบ</x:v>
      </x:c>
      <x:c r="I404" t="str">
        <x:v>รอสอบเทียบ</x:v>
      </x:c>
      <x:c r="J404" t="str">
        <x:v>ไม่มีสัญญา</x:v>
      </x:c>
      <x:c r="K404" t="str">
        <x:v>รอสอบเทียบก่อนพร้อมส่ง</x:v>
      </x:c>
      <x:c r="L404" t="str">
        <x:v>ไม่ได้เช่ายืม = รอสอบเทียบ</x:v>
      </x:c>
      <x:c r="M404" t="str">
        <x:f>IF(OR(H404="ใช้งานไม่ได้",H404="BROKEN",H404="Broken"),"ใช้งานไม่ได้",IF(OR(H404="ไม่พบในรายการ",H404="MISSING",H404="Missing"),"ไม่พบในรายการ",IF(OR(J404="เช่ายืม",J404="IN_USE",J404="IN-USE",H404="เช่ายืม"),"เช่ายืม",IF(H404="พร้อมส่ง","พร้อมส่ง","รอสอบเทียบ"))))</x:f>
        <x:v>รอสอบเทียบ</x:v>
      </x:c>
    </x:row>
    <x:row r="405">
      <x:c r="A405" t="str">
        <x:v>CESR00064</x:v>
      </x:c>
      <x:c r="B405" t="str">
        <x:v>21123050073</x:v>
      </x:c>
      <x:c r="C405" t="str">
        <x:v>BYOND</x:v>
      </x:c>
      <x:c r="D405" t="str">
        <x:v>Sunfusion Semi-2</x:v>
      </x:c>
      <x:c r="E405" t="str">
        <x:v>Sunfusion Semi-2</x:v>
      </x:c>
      <x:c r="F405" t="str">
        <x:v>BYOND_PUMP</x:v>
      </x:c>
      <x:c r="G405" t="str">
        <x:v>GJ</x:v>
      </x:c>
      <x:c r="H405" t="str">
        <x:v>เช่ายืม</x:v>
      </x:c>
      <x:c r="I405" t="str">
        <x:v>พร้อมส่ง</x:v>
      </x:c>
      <x:c r="J405" t="str">
        <x:v>เช่ายืม</x:v>
      </x:c>
      <x:c r="K405" t="str">
        <x:v>อยู่ระหว่างเช่ายืม</x:v>
      </x:c>
      <x:c r="L405"/>
      <x:c r="M405" t="str">
        <x:f>IF(OR(H405="ใช้งานไม่ได้",H405="BROKEN",H405="Broken"),"ใช้งานไม่ได้",IF(OR(H405="ไม่พบในรายการ",H405="MISSING",H405="Missing"),"ไม่พบในรายการ",IF(OR(J405="เช่ายืม",J405="IN_USE",J405="IN-USE",H405="เช่ายืม"),"เช่ายืม",IF(H405="พร้อมส่ง","พร้อมส่ง","รอสอบเทียบ"))))</x:f>
        <x:v>เช่ายืม</x:v>
      </x:c>
    </x:row>
    <x:row r="406">
      <x:c r="A406" t="str">
        <x:v>CESR00065</x:v>
      </x:c>
      <x:c r="B406" t="str">
        <x:v>21123050074</x:v>
      </x:c>
      <x:c r="C406" t="str">
        <x:v>BYOND</x:v>
      </x:c>
      <x:c r="D406" t="str">
        <x:v>Sunfusion Semi-2</x:v>
      </x:c>
      <x:c r="E406" t="str">
        <x:v>Sunfusion Semi-2</x:v>
      </x:c>
      <x:c r="F406" t="str">
        <x:v>BYOND_PUMP</x:v>
      </x:c>
      <x:c r="G406" t="str">
        <x:v>GJ</x:v>
      </x:c>
      <x:c r="H406" t="str">
        <x:v>เช่ายืม</x:v>
      </x:c>
      <x:c r="I406" t="str">
        <x:v>พร้อมส่ง</x:v>
      </x:c>
      <x:c r="J406" t="str">
        <x:v>เช่ายืม</x:v>
      </x:c>
      <x:c r="K406" t="str">
        <x:v>อยู่ระหว่างเช่ายืม</x:v>
      </x:c>
      <x:c r="L406"/>
      <x:c r="M406" t="str">
        <x:f>IF(OR(H406="ใช้งานไม่ได้",H406="BROKEN",H406="Broken"),"ใช้งานไม่ได้",IF(OR(H406="ไม่พบในรายการ",H406="MISSING",H406="Missing"),"ไม่พบในรายการ",IF(OR(J406="เช่ายืม",J406="IN_USE",J406="IN-USE",H406="เช่ายืม"),"เช่ายืม",IF(H406="พร้อมส่ง","พร้อมส่ง","รอสอบเทียบ"))))</x:f>
        <x:v>เช่ายืม</x:v>
      </x:c>
    </x:row>
    <x:row r="407">
      <x:c r="A407" t="str">
        <x:v>CESR00066</x:v>
      </x:c>
      <x:c r="B407" t="str">
        <x:v>21123050075</x:v>
      </x:c>
      <x:c r="C407" t="str">
        <x:v>BYOND</x:v>
      </x:c>
      <x:c r="D407" t="str">
        <x:v>Sunfusion Semi-2</x:v>
      </x:c>
      <x:c r="E407" t="str">
        <x:v>Sunfusion Semi-2</x:v>
      </x:c>
      <x:c r="F407" t="str">
        <x:v>BYOND_PUMP</x:v>
      </x:c>
      <x:c r="G407" t="str">
        <x:v>Warehouse</x:v>
      </x:c>
      <x:c r="H407" t="str">
        <x:v>รอสอบเทียบ</x:v>
      </x:c>
      <x:c r="I407" t="str">
        <x:v>รอสอบเทียบ</x:v>
      </x:c>
      <x:c r="J407" t="str">
        <x:v>ไม่มีสัญญา</x:v>
      </x:c>
      <x:c r="K407" t="str">
        <x:v>รอสอบเทียบก่อนพร้อมส่ง</x:v>
      </x:c>
      <x:c r="L407" t="str">
        <x:v>ไม่ได้เช่ายืม = รอสอบเทียบ</x:v>
      </x:c>
      <x:c r="M407" t="str">
        <x:f>IF(OR(H407="ใช้งานไม่ได้",H407="BROKEN",H407="Broken"),"ใช้งานไม่ได้",IF(OR(H407="ไม่พบในรายการ",H407="MISSING",H407="Missing"),"ไม่พบในรายการ",IF(OR(J407="เช่ายืม",J407="IN_USE",J407="IN-USE",H407="เช่ายืม"),"เช่ายืม",IF(H407="พร้อมส่ง","พร้อมส่ง","รอสอบเทียบ"))))</x:f>
        <x:v>รอสอบเทียบ</x:v>
      </x:c>
    </x:row>
    <x:row r="408">
      <x:c r="A408" t="str">
        <x:v>CESR00067</x:v>
      </x:c>
      <x:c r="B408" t="str">
        <x:v>21123050076</x:v>
      </x:c>
      <x:c r="C408" t="str">
        <x:v>BYOND</x:v>
      </x:c>
      <x:c r="D408" t="str">
        <x:v>Sunfusion Semi-2</x:v>
      </x:c>
      <x:c r="E408" t="str">
        <x:v>Sunfusion Semi-2</x:v>
      </x:c>
      <x:c r="F408" t="str">
        <x:v>BYOND_PUMP</x:v>
      </x:c>
      <x:c r="G408" t="str">
        <x:v>Warehouse</x:v>
      </x:c>
      <x:c r="H408" t="str">
        <x:v>รอสอบเทียบ</x:v>
      </x:c>
      <x:c r="I408" t="str">
        <x:v>รอสอบเทียบ</x:v>
      </x:c>
      <x:c r="J408" t="str">
        <x:v>ไม่มีสัญญา</x:v>
      </x:c>
      <x:c r="K408" t="str">
        <x:v>รอสอบเทียบก่อนพร้อมส่ง</x:v>
      </x:c>
      <x:c r="L408" t="str">
        <x:v>ไม่ได้เช่ายืม = รอสอบเทียบ</x:v>
      </x:c>
      <x:c r="M408" t="str">
        <x:f>IF(OR(H408="ใช้งานไม่ได้",H408="BROKEN",H408="Broken"),"ใช้งานไม่ได้",IF(OR(H408="ไม่พบในรายการ",H408="MISSING",H408="Missing"),"ไม่พบในรายการ",IF(OR(J408="เช่ายืม",J408="IN_USE",J408="IN-USE",H408="เช่ายืม"),"เช่ายืม",IF(H408="พร้อมส่ง","พร้อมส่ง","รอสอบเทียบ"))))</x:f>
        <x:v>รอสอบเทียบ</x:v>
      </x:c>
    </x:row>
    <x:row r="409">
      <x:c r="A409" t="str">
        <x:v>CESR00068</x:v>
      </x:c>
      <x:c r="B409" t="str">
        <x:v>21123050077</x:v>
      </x:c>
      <x:c r="C409" t="str">
        <x:v>BYOND</x:v>
      </x:c>
      <x:c r="D409" t="str">
        <x:v>Sunfusion Semi-2</x:v>
      </x:c>
      <x:c r="E409" t="str">
        <x:v>Sunfusion Semi-2</x:v>
      </x:c>
      <x:c r="F409" t="str">
        <x:v>BYOND_PUMP</x:v>
      </x:c>
      <x:c r="G409" t="str">
        <x:v>GJ</x:v>
      </x:c>
      <x:c r="H409" t="str">
        <x:v>เช่ายืม</x:v>
      </x:c>
      <x:c r="I409" t="str">
        <x:v>พร้อมส่ง</x:v>
      </x:c>
      <x:c r="J409" t="str">
        <x:v>เช่ายืม</x:v>
      </x:c>
      <x:c r="K409" t="str">
        <x:v>อยู่ระหว่างเช่ายืม</x:v>
      </x:c>
      <x:c r="L409"/>
      <x:c r="M409" t="str">
        <x:f>IF(OR(H409="ใช้งานไม่ได้",H409="BROKEN",H409="Broken"),"ใช้งานไม่ได้",IF(OR(H409="ไม่พบในรายการ",H409="MISSING",H409="Missing"),"ไม่พบในรายการ",IF(OR(J409="เช่ายืม",J409="IN_USE",J409="IN-USE",H409="เช่ายืม"),"เช่ายืม",IF(H409="พร้อมส่ง","พร้อมส่ง","รอสอบเทียบ"))))</x:f>
        <x:v>เช่ายืม</x:v>
      </x:c>
    </x:row>
    <x:row r="410">
      <x:c r="A410" t="str">
        <x:v>CESR00069</x:v>
      </x:c>
      <x:c r="B410" t="str">
        <x:v>21123050078</x:v>
      </x:c>
      <x:c r="C410" t="str">
        <x:v>BYOND</x:v>
      </x:c>
      <x:c r="D410" t="str">
        <x:v>Sunfusion Semi-2</x:v>
      </x:c>
      <x:c r="E410" t="str">
        <x:v>Sunfusion Semi-2</x:v>
      </x:c>
      <x:c r="F410" t="str">
        <x:v>BYOND_PUMP</x:v>
      </x:c>
      <x:c r="G410" t="str">
        <x:v>Warehouse</x:v>
      </x:c>
      <x:c r="H410" t="str">
        <x:v>รอสอบเทียบ</x:v>
      </x:c>
      <x:c r="I410" t="str">
        <x:v>รอสอบเทียบ</x:v>
      </x:c>
      <x:c r="J410" t="str">
        <x:v>ไม่มีสัญญา</x:v>
      </x:c>
      <x:c r="K410" t="str">
        <x:v>รอสอบเทียบก่อนพร้อมส่ง</x:v>
      </x:c>
      <x:c r="L410" t="str">
        <x:v>ไม่ได้เช่ายืม = รอสอบเทียบ</x:v>
      </x:c>
      <x:c r="M410" t="str">
        <x:f>IF(OR(H410="ใช้งานไม่ได้",H410="BROKEN",H410="Broken"),"ใช้งานไม่ได้",IF(OR(H410="ไม่พบในรายการ",H410="MISSING",H410="Missing"),"ไม่พบในรายการ",IF(OR(J410="เช่ายืม",J410="IN_USE",J410="IN-USE",H410="เช่ายืม"),"เช่ายืม",IF(H410="พร้อมส่ง","พร้อมส่ง","รอสอบเทียบ"))))</x:f>
        <x:v>รอสอบเทียบ</x:v>
      </x:c>
    </x:row>
    <x:row r="411">
      <x:c r="A411" t="str">
        <x:v>CESR00070</x:v>
      </x:c>
      <x:c r="B411" t="str">
        <x:v>21123050079</x:v>
      </x:c>
      <x:c r="C411" t="str">
        <x:v>BYOND</x:v>
      </x:c>
      <x:c r="D411" t="str">
        <x:v>Sunfusion Semi-2</x:v>
      </x:c>
      <x:c r="E411" t="str">
        <x:v>Sunfusion Semi-2</x:v>
      </x:c>
      <x:c r="F411" t="str">
        <x:v>BYOND_PUMP</x:v>
      </x:c>
      <x:c r="G411" t="str">
        <x:v>Warehouse</x:v>
      </x:c>
      <x:c r="H411" t="str">
        <x:v>รอสอบเทียบ</x:v>
      </x:c>
      <x:c r="I411" t="str">
        <x:v>รอสอบเทียบ</x:v>
      </x:c>
      <x:c r="J411" t="str">
        <x:v>ไม่มีสัญญา</x:v>
      </x:c>
      <x:c r="K411" t="str">
        <x:v>รอสอบเทียบก่อนพร้อมส่ง</x:v>
      </x:c>
      <x:c r="L411" t="str">
        <x:v>ไม่ได้เช่ายืม = รอสอบเทียบ</x:v>
      </x:c>
      <x:c r="M411" t="str">
        <x:f>IF(OR(H411="ใช้งานไม่ได้",H411="BROKEN",H411="Broken"),"ใช้งานไม่ได้",IF(OR(H411="ไม่พบในรายการ",H411="MISSING",H411="Missing"),"ไม่พบในรายการ",IF(OR(J411="เช่ายืม",J411="IN_USE",J411="IN-USE",H411="เช่ายืม"),"เช่ายืม",IF(H411="พร้อมส่ง","พร้อมส่ง","รอสอบเทียบ"))))</x:f>
        <x:v>รอสอบเทียบ</x:v>
      </x:c>
    </x:row>
    <x:row r="412">
      <x:c r="A412" t="str">
        <x:v>CESR00071</x:v>
      </x:c>
      <x:c r="B412" t="str">
        <x:v>21123050080</x:v>
      </x:c>
      <x:c r="C412" t="str">
        <x:v>BYOND</x:v>
      </x:c>
      <x:c r="D412" t="str">
        <x:v>Sunfusion Semi-2</x:v>
      </x:c>
      <x:c r="E412" t="str">
        <x:v>Sunfusion Semi-2</x:v>
      </x:c>
      <x:c r="F412" t="str">
        <x:v>BYOND_PUMP</x:v>
      </x:c>
      <x:c r="G412" t="str">
        <x:v>Warehouse</x:v>
      </x:c>
      <x:c r="H412" t="str">
        <x:v>รอสอบเทียบ</x:v>
      </x:c>
      <x:c r="I412" t="str">
        <x:v>รอสอบเทียบ</x:v>
      </x:c>
      <x:c r="J412" t="str">
        <x:v>ไม่มีสัญญา</x:v>
      </x:c>
      <x:c r="K412" t="str">
        <x:v>รอสอบเทียบก่อนพร้อมส่ง</x:v>
      </x:c>
      <x:c r="L412" t="str">
        <x:v>ไม่ได้เช่ายืม = รอสอบเทียบ</x:v>
      </x:c>
      <x:c r="M412" t="str">
        <x:f>IF(OR(H412="ใช้งานไม่ได้",H412="BROKEN",H412="Broken"),"ใช้งานไม่ได้",IF(OR(H412="ไม่พบในรายการ",H412="MISSING",H412="Missing"),"ไม่พบในรายการ",IF(OR(J412="เช่ายืม",J412="IN_USE",J412="IN-USE",H412="เช่ายืม"),"เช่ายืม",IF(H412="พร้อมส่ง","พร้อมส่ง","รอสอบเทียบ"))))</x:f>
        <x:v>รอสอบเทียบ</x:v>
      </x:c>
    </x:row>
    <x:row r="413">
      <x:c r="A413" t="str">
        <x:v>CESR00072</x:v>
      </x:c>
      <x:c r="B413" t="str">
        <x:v>21123050081</x:v>
      </x:c>
      <x:c r="C413" t="str">
        <x:v>BYOND</x:v>
      </x:c>
      <x:c r="D413" t="str">
        <x:v>Sunfusion Semi-2</x:v>
      </x:c>
      <x:c r="E413" t="str">
        <x:v>Sunfusion Semi-2</x:v>
      </x:c>
      <x:c r="F413" t="str">
        <x:v>BYOND_PUMP</x:v>
      </x:c>
      <x:c r="G413" t="str">
        <x:v>Warehouse</x:v>
      </x:c>
      <x:c r="H413" t="str">
        <x:v>รอสอบเทียบ</x:v>
      </x:c>
      <x:c r="I413" t="str">
        <x:v>รอสอบเทียบ</x:v>
      </x:c>
      <x:c r="J413" t="str">
        <x:v>ไม่มีสัญญา</x:v>
      </x:c>
      <x:c r="K413" t="str">
        <x:v>รอสอบเทียบก่อนพร้อมส่ง</x:v>
      </x:c>
      <x:c r="L413" t="str">
        <x:v>ไม่ได้เช่ายืม = รอสอบเทียบ</x:v>
      </x:c>
      <x:c r="M413" t="str">
        <x:f>IF(OR(H413="ใช้งานไม่ได้",H413="BROKEN",H413="Broken"),"ใช้งานไม่ได้",IF(OR(H413="ไม่พบในรายการ",H413="MISSING",H413="Missing"),"ไม่พบในรายการ",IF(OR(J413="เช่ายืม",J413="IN_USE",J413="IN-USE",H413="เช่ายืม"),"เช่ายืม",IF(H413="พร้อมส่ง","พร้อมส่ง","รอสอบเทียบ"))))</x:f>
        <x:v>รอสอบเทียบ</x:v>
      </x:c>
    </x:row>
    <x:row r="414">
      <x:c r="A414" t="str">
        <x:v>CESR00073</x:v>
      </x:c>
      <x:c r="B414" t="str">
        <x:v>21123050082</x:v>
      </x:c>
      <x:c r="C414" t="str">
        <x:v>BYOND</x:v>
      </x:c>
      <x:c r="D414" t="str">
        <x:v>Sunfusion Semi-2</x:v>
      </x:c>
      <x:c r="E414" t="str">
        <x:v>Sunfusion Semi-2</x:v>
      </x:c>
      <x:c r="F414" t="str">
        <x:v>BYOND_PUMP</x:v>
      </x:c>
      <x:c r="G414" t="str">
        <x:v>Warehouse</x:v>
      </x:c>
      <x:c r="H414" t="str">
        <x:v>รอสอบเทียบ</x:v>
      </x:c>
      <x:c r="I414" t="str">
        <x:v>รอสอบเทียบ</x:v>
      </x:c>
      <x:c r="J414" t="str">
        <x:v>ไม่มีสัญญา</x:v>
      </x:c>
      <x:c r="K414" t="str">
        <x:v>รอสอบเทียบก่อนพร้อมส่ง</x:v>
      </x:c>
      <x:c r="L414" t="str">
        <x:v>ไม่ได้เช่ายืม = รอสอบเทียบ</x:v>
      </x:c>
      <x:c r="M414" t="str">
        <x:f>IF(OR(H414="ใช้งานไม่ได้",H414="BROKEN",H414="Broken"),"ใช้งานไม่ได้",IF(OR(H414="ไม่พบในรายการ",H414="MISSING",H414="Missing"),"ไม่พบในรายการ",IF(OR(J414="เช่ายืม",J414="IN_USE",J414="IN-USE",H414="เช่ายืม"),"เช่ายืม",IF(H414="พร้อมส่ง","พร้อมส่ง","รอสอบเทียบ"))))</x:f>
        <x:v>รอสอบเทียบ</x:v>
      </x:c>
    </x:row>
    <x:row r="415">
      <x:c r="A415" t="str">
        <x:v>CESR00074</x:v>
      </x:c>
      <x:c r="B415" t="str">
        <x:v>21123050083</x:v>
      </x:c>
      <x:c r="C415" t="str">
        <x:v>BYOND</x:v>
      </x:c>
      <x:c r="D415" t="str">
        <x:v>Sunfusion Semi-2</x:v>
      </x:c>
      <x:c r="E415" t="str">
        <x:v>Sunfusion Semi-2</x:v>
      </x:c>
      <x:c r="F415" t="str">
        <x:v>BYOND_PUMP</x:v>
      </x:c>
      <x:c r="G415" t="str">
        <x:v>Warehouse</x:v>
      </x:c>
      <x:c r="H415" t="str">
        <x:v>รอสอบเทียบ</x:v>
      </x:c>
      <x:c r="I415" t="str">
        <x:v>รอสอบเทียบ</x:v>
      </x:c>
      <x:c r="J415" t="str">
        <x:v>ไม่มีสัญญา</x:v>
      </x:c>
      <x:c r="K415" t="str">
        <x:v>รอสอบเทียบก่อนพร้อมส่ง</x:v>
      </x:c>
      <x:c r="L415" t="str">
        <x:v>ไม่ได้เช่ายืม = รอสอบเทียบ</x:v>
      </x:c>
      <x:c r="M415" t="str">
        <x:f>IF(OR(H415="ใช้งานไม่ได้",H415="BROKEN",H415="Broken"),"ใช้งานไม่ได้",IF(OR(H415="ไม่พบในรายการ",H415="MISSING",H415="Missing"),"ไม่พบในรายการ",IF(OR(J415="เช่ายืม",J415="IN_USE",J415="IN-USE",H415="เช่ายืม"),"เช่ายืม",IF(H415="พร้อมส่ง","พร้อมส่ง","รอสอบเทียบ"))))</x:f>
        <x:v>รอสอบเทียบ</x:v>
      </x:c>
    </x:row>
    <x:row r="416">
      <x:c r="A416" t="str">
        <x:v>CESR00075</x:v>
      </x:c>
      <x:c r="B416" t="str">
        <x:v>21123050084</x:v>
      </x:c>
      <x:c r="C416" t="str">
        <x:v>BYOND</x:v>
      </x:c>
      <x:c r="D416" t="str">
        <x:v>Sunfusion Semi-2</x:v>
      </x:c>
      <x:c r="E416" t="str">
        <x:v>Sunfusion Semi-2</x:v>
      </x:c>
      <x:c r="F416" t="str">
        <x:v>BYOND_PUMP</x:v>
      </x:c>
      <x:c r="G416" t="str">
        <x:v>Warehouse</x:v>
      </x:c>
      <x:c r="H416" t="str">
        <x:v>รอสอบเทียบ</x:v>
      </x:c>
      <x:c r="I416" t="str">
        <x:v>รอสอบเทียบ</x:v>
      </x:c>
      <x:c r="J416" t="str">
        <x:v>ไม่มีสัญญา</x:v>
      </x:c>
      <x:c r="K416" t="str">
        <x:v>รอสอบเทียบก่อนพร้อมส่ง</x:v>
      </x:c>
      <x:c r="L416" t="str">
        <x:v>ไม่ได้เช่ายืม = รอสอบเทียบ</x:v>
      </x:c>
      <x:c r="M416" t="str">
        <x:f>IF(OR(H416="ใช้งานไม่ได้",H416="BROKEN",H416="Broken"),"ใช้งานไม่ได้",IF(OR(H416="ไม่พบในรายการ",H416="MISSING",H416="Missing"),"ไม่พบในรายการ",IF(OR(J416="เช่ายืม",J416="IN_USE",J416="IN-USE",H416="เช่ายืม"),"เช่ายืม",IF(H416="พร้อมส่ง","พร้อมส่ง","รอสอบเทียบ"))))</x:f>
        <x:v>รอสอบเทียบ</x:v>
      </x:c>
    </x:row>
    <x:row r="417">
      <x:c r="A417" t="str">
        <x:v>CESR00076</x:v>
      </x:c>
      <x:c r="B417" t="str">
        <x:v>21123050085</x:v>
      </x:c>
      <x:c r="C417" t="str">
        <x:v>BYOND</x:v>
      </x:c>
      <x:c r="D417" t="str">
        <x:v>Sunfusion Semi-2</x:v>
      </x:c>
      <x:c r="E417" t="str">
        <x:v>Sunfusion Semi-2</x:v>
      </x:c>
      <x:c r="F417" t="str">
        <x:v>BYOND_PUMP</x:v>
      </x:c>
      <x:c r="G417" t="str">
        <x:v>Warehouse</x:v>
      </x:c>
      <x:c r="H417" t="str">
        <x:v>รอสอบเทียบ</x:v>
      </x:c>
      <x:c r="I417" t="str">
        <x:v>รอสอบเทียบ</x:v>
      </x:c>
      <x:c r="J417" t="str">
        <x:v>ไม่มีสัญญา</x:v>
      </x:c>
      <x:c r="K417" t="str">
        <x:v>รอสอบเทียบก่อนพร้อมส่ง</x:v>
      </x:c>
      <x:c r="L417" t="str">
        <x:v>ไม่ได้เช่ายืม = รอสอบเทียบ</x:v>
      </x:c>
      <x:c r="M417" t="str">
        <x:f>IF(OR(H417="ใช้งานไม่ได้",H417="BROKEN",H417="Broken"),"ใช้งานไม่ได้",IF(OR(H417="ไม่พบในรายการ",H417="MISSING",H417="Missing"),"ไม่พบในรายการ",IF(OR(J417="เช่ายืม",J417="IN_USE",J417="IN-USE",H417="เช่ายืม"),"เช่ายืม",IF(H417="พร้อมส่ง","พร้อมส่ง","รอสอบเทียบ"))))</x:f>
        <x:v>รอสอบเทียบ</x:v>
      </x:c>
    </x:row>
    <x:row r="418">
      <x:c r="A418" t="str">
        <x:v>CESR00077</x:v>
      </x:c>
      <x:c r="B418" t="str">
        <x:v>21123050086</x:v>
      </x:c>
      <x:c r="C418" t="str">
        <x:v>BYOND</x:v>
      </x:c>
      <x:c r="D418" t="str">
        <x:v>Sunfusion Semi-2</x:v>
      </x:c>
      <x:c r="E418" t="str">
        <x:v>Sunfusion Semi-2</x:v>
      </x:c>
      <x:c r="F418" t="str">
        <x:v>BYOND_PUMP</x:v>
      </x:c>
      <x:c r="G418" t="str">
        <x:v>Warehouse</x:v>
      </x:c>
      <x:c r="H418" t="str">
        <x:v>รอสอบเทียบ</x:v>
      </x:c>
      <x:c r="I418" t="str">
        <x:v>รอสอบเทียบ</x:v>
      </x:c>
      <x:c r="J418" t="str">
        <x:v>ไม่มีสัญญา</x:v>
      </x:c>
      <x:c r="K418" t="str">
        <x:v>รอสอบเทียบก่อนพร้อมส่ง</x:v>
      </x:c>
      <x:c r="L418" t="str">
        <x:v>ไม่ได้เช่ายืม = รอสอบเทียบ</x:v>
      </x:c>
      <x:c r="M418" t="str">
        <x:f>IF(OR(H418="ใช้งานไม่ได้",H418="BROKEN",H418="Broken"),"ใช้งานไม่ได้",IF(OR(H418="ไม่พบในรายการ",H418="MISSING",H418="Missing"),"ไม่พบในรายการ",IF(OR(J418="เช่ายืม",J418="IN_USE",J418="IN-USE",H418="เช่ายืม"),"เช่ายืม",IF(H418="พร้อมส่ง","พร้อมส่ง","รอสอบเทียบ"))))</x:f>
        <x:v>รอสอบเทียบ</x:v>
      </x:c>
    </x:row>
    <x:row r="419">
      <x:c r="A419" t="str">
        <x:v>CESR00078</x:v>
      </x:c>
      <x:c r="B419" t="str">
        <x:v>21123050088</x:v>
      </x:c>
      <x:c r="C419" t="str">
        <x:v>BYOND</x:v>
      </x:c>
      <x:c r="D419" t="str">
        <x:v>Sunfusion Semi-2</x:v>
      </x:c>
      <x:c r="E419" t="str">
        <x:v>Sunfusion Semi-2</x:v>
      </x:c>
      <x:c r="F419" t="str">
        <x:v>BYOND_PUMP</x:v>
      </x:c>
      <x:c r="G419" t="str">
        <x:v>Warehouse</x:v>
      </x:c>
      <x:c r="H419" t="str">
        <x:v>รอสอบเทียบ</x:v>
      </x:c>
      <x:c r="I419" t="str">
        <x:v>รอสอบเทียบ</x:v>
      </x:c>
      <x:c r="J419" t="str">
        <x:v>ไม่มีสัญญา</x:v>
      </x:c>
      <x:c r="K419" t="str">
        <x:v>รอสอบเทียบก่อนพร้อมส่ง</x:v>
      </x:c>
      <x:c r="L419" t="str">
        <x:v>ไม่ได้เช่ายืม = รอสอบเทียบ</x:v>
      </x:c>
      <x:c r="M419" t="str">
        <x:f>IF(OR(H419="ใช้งานไม่ได้",H419="BROKEN",H419="Broken"),"ใช้งานไม่ได้",IF(OR(H419="ไม่พบในรายการ",H419="MISSING",H419="Missing"),"ไม่พบในรายการ",IF(OR(J419="เช่ายืม",J419="IN_USE",J419="IN-USE",H419="เช่ายืม"),"เช่ายืม",IF(H419="พร้อมส่ง","พร้อมส่ง","รอสอบเทียบ"))))</x:f>
        <x:v>รอสอบเทียบ</x:v>
      </x:c>
    </x:row>
    <x:row r="420">
      <x:c r="A420" t="str">
        <x:v>CESR00079</x:v>
      </x:c>
      <x:c r="B420" t="str">
        <x:v>21123050090</x:v>
      </x:c>
      <x:c r="C420" t="str">
        <x:v>BYOND</x:v>
      </x:c>
      <x:c r="D420" t="str">
        <x:v>Sunfusion Semi-2</x:v>
      </x:c>
      <x:c r="E420" t="str">
        <x:v>Sunfusion Semi-2</x:v>
      </x:c>
      <x:c r="F420" t="str">
        <x:v>BYOND_PUMP</x:v>
      </x:c>
      <x:c r="G420" t="str">
        <x:v>Warehouse</x:v>
      </x:c>
      <x:c r="H420" t="str">
        <x:v>รอสอบเทียบ</x:v>
      </x:c>
      <x:c r="I420" t="str">
        <x:v>รอสอบเทียบ</x:v>
      </x:c>
      <x:c r="J420" t="str">
        <x:v>ไม่มีสัญญา</x:v>
      </x:c>
      <x:c r="K420" t="str">
        <x:v>รอสอบเทียบก่อนพร้อมส่ง</x:v>
      </x:c>
      <x:c r="L420" t="str">
        <x:v>ไม่ได้เช่ายืม = รอสอบเทียบ</x:v>
      </x:c>
      <x:c r="M420" t="str">
        <x:f>IF(OR(H420="ใช้งานไม่ได้",H420="BROKEN",H420="Broken"),"ใช้งานไม่ได้",IF(OR(H420="ไม่พบในรายการ",H420="MISSING",H420="Missing"),"ไม่พบในรายการ",IF(OR(J420="เช่ายืม",J420="IN_USE",J420="IN-USE",H420="เช่ายืม"),"เช่ายืม",IF(H420="พร้อมส่ง","พร้อมส่ง","รอสอบเทียบ"))))</x:f>
        <x:v>รอสอบเทียบ</x:v>
      </x:c>
    </x:row>
    <x:row r="421">
      <x:c r="A421" t="str">
        <x:v>CESR00080</x:v>
      </x:c>
      <x:c r="B421" t="str">
        <x:v>21123050091</x:v>
      </x:c>
      <x:c r="C421" t="str">
        <x:v>BYOND</x:v>
      </x:c>
      <x:c r="D421" t="str">
        <x:v>Sunfusion Semi-2</x:v>
      </x:c>
      <x:c r="E421" t="str">
        <x:v>Sunfusion Semi-2</x:v>
      </x:c>
      <x:c r="F421" t="str">
        <x:v>BYOND_PUMP</x:v>
      </x:c>
      <x:c r="G421" t="str">
        <x:v>Warehouse</x:v>
      </x:c>
      <x:c r="H421" t="str">
        <x:v>รอสอบเทียบ</x:v>
      </x:c>
      <x:c r="I421" t="str">
        <x:v>รอสอบเทียบ</x:v>
      </x:c>
      <x:c r="J421" t="str">
        <x:v>ไม่มีสัญญา</x:v>
      </x:c>
      <x:c r="K421" t="str">
        <x:v>รอสอบเทียบก่อนพร้อมส่ง</x:v>
      </x:c>
      <x:c r="L421" t="str">
        <x:v>ไม่ได้เช่ายืม = รอสอบเทียบ</x:v>
      </x:c>
      <x:c r="M421" t="str">
        <x:f>IF(OR(H421="ใช้งานไม่ได้",H421="BROKEN",H421="Broken"),"ใช้งานไม่ได้",IF(OR(H421="ไม่พบในรายการ",H421="MISSING",H421="Missing"),"ไม่พบในรายการ",IF(OR(J421="เช่ายืม",J421="IN_USE",J421="IN-USE",H421="เช่ายืม"),"เช่ายืม",IF(H421="พร้อมส่ง","พร้อมส่ง","รอสอบเทียบ"))))</x:f>
        <x:v>รอสอบเทียบ</x:v>
      </x:c>
    </x:row>
    <x:row r="422">
      <x:c r="A422" t="str">
        <x:v>CESR00081</x:v>
      </x:c>
      <x:c r="B422" t="str">
        <x:v>21123050092</x:v>
      </x:c>
      <x:c r="C422" t="str">
        <x:v>BYOND</x:v>
      </x:c>
      <x:c r="D422" t="str">
        <x:v>Sunfusion Semi-2</x:v>
      </x:c>
      <x:c r="E422" t="str">
        <x:v>Sunfusion Semi-2</x:v>
      </x:c>
      <x:c r="F422" t="str">
        <x:v>BYOND_PUMP</x:v>
      </x:c>
      <x:c r="G422" t="str">
        <x:v>Warehouse</x:v>
      </x:c>
      <x:c r="H422" t="str">
        <x:v>รอสอบเทียบ</x:v>
      </x:c>
      <x:c r="I422" t="str">
        <x:v>รอสอบเทียบ</x:v>
      </x:c>
      <x:c r="J422" t="str">
        <x:v>ไม่มีสัญญา</x:v>
      </x:c>
      <x:c r="K422" t="str">
        <x:v>รอสอบเทียบก่อนพร้อมส่ง</x:v>
      </x:c>
      <x:c r="L422" t="str">
        <x:v>ไม่ได้เช่ายืม = รอสอบเทียบ</x:v>
      </x:c>
      <x:c r="M422" t="str">
        <x:f>IF(OR(H422="ใช้งานไม่ได้",H422="BROKEN",H422="Broken"),"ใช้งานไม่ได้",IF(OR(H422="ไม่พบในรายการ",H422="MISSING",H422="Missing"),"ไม่พบในรายการ",IF(OR(J422="เช่ายืม",J422="IN_USE",J422="IN-USE",H422="เช่ายืม"),"เช่ายืม",IF(H422="พร้อมส่ง","พร้อมส่ง","รอสอบเทียบ"))))</x:f>
        <x:v>รอสอบเทียบ</x:v>
      </x:c>
    </x:row>
    <x:row r="423">
      <x:c r="A423" t="str">
        <x:v>CESR00082</x:v>
      </x:c>
      <x:c r="B423" t="str">
        <x:v>21123050093</x:v>
      </x:c>
      <x:c r="C423" t="str">
        <x:v>BYOND</x:v>
      </x:c>
      <x:c r="D423" t="str">
        <x:v>Sunfusion Semi-2</x:v>
      </x:c>
      <x:c r="E423" t="str">
        <x:v>Sunfusion Semi-2</x:v>
      </x:c>
      <x:c r="F423" t="str">
        <x:v>BYOND_PUMP</x:v>
      </x:c>
      <x:c r="G423" t="str">
        <x:v>Supachock Nutapibal</x:v>
      </x:c>
      <x:c r="H423" t="str">
        <x:v>เช่ายืม</x:v>
      </x:c>
      <x:c r="I423" t="str">
        <x:v>พร้อมส่ง</x:v>
      </x:c>
      <x:c r="J423" t="str">
        <x:v>เช่ายืม</x:v>
      </x:c>
      <x:c r="K423" t="str">
        <x:v>อยู่ระหว่างเช่ายืม / เกินกำหนดคืน 312 วัน</x:v>
      </x:c>
      <x:c r="L423"/>
      <x:c r="M423" t="str">
        <x:f>IF(OR(H423="ใช้งานไม่ได้",H423="BROKEN",H423="Broken"),"ใช้งานไม่ได้",IF(OR(H423="ไม่พบในรายการ",H423="MISSING",H423="Missing"),"ไม่พบในรายการ",IF(OR(J423="เช่ายืม",J423="IN_USE",J423="IN-USE",H423="เช่ายืม"),"เช่ายืม",IF(H423="พร้อมส่ง","พร้อมส่ง","รอสอบเทียบ"))))</x:f>
        <x:v>เช่ายืม</x:v>
      </x:c>
    </x:row>
    <x:row r="424">
      <x:c r="A424" t="str">
        <x:v>CESR00083</x:v>
      </x:c>
      <x:c r="B424" t="str">
        <x:v>21123050094</x:v>
      </x:c>
      <x:c r="C424" t="str">
        <x:v>BYOND</x:v>
      </x:c>
      <x:c r="D424" t="str">
        <x:v>Sunfusion Semi-2</x:v>
      </x:c>
      <x:c r="E424" t="str">
        <x:v>Sunfusion Semi-2</x:v>
      </x:c>
      <x:c r="F424" t="str">
        <x:v>BYOND_PUMP</x:v>
      </x:c>
      <x:c r="G424" t="str">
        <x:v>Warehouse</x:v>
      </x:c>
      <x:c r="H424" t="str">
        <x:v>รอสอบเทียบ</x:v>
      </x:c>
      <x:c r="I424" t="str">
        <x:v>รอสอบเทียบ</x:v>
      </x:c>
      <x:c r="J424" t="str">
        <x:v>ไม่มีสัญญา</x:v>
      </x:c>
      <x:c r="K424" t="str">
        <x:v>รอสอบเทียบก่อนพร้อมส่ง</x:v>
      </x:c>
      <x:c r="L424" t="str">
        <x:v>ไม่ได้เช่ายืม = รอสอบเทียบ</x:v>
      </x:c>
      <x:c r="M424" t="str">
        <x:f>IF(OR(H424="ใช้งานไม่ได้",H424="BROKEN",H424="Broken"),"ใช้งานไม่ได้",IF(OR(H424="ไม่พบในรายการ",H424="MISSING",H424="Missing"),"ไม่พบในรายการ",IF(OR(J424="เช่ายืม",J424="IN_USE",J424="IN-USE",H424="เช่ายืม"),"เช่ายืม",IF(H424="พร้อมส่ง","พร้อมส่ง","รอสอบเทียบ"))))</x:f>
        <x:v>รอสอบเทียบ</x:v>
      </x:c>
    </x:row>
    <x:row r="425">
      <x:c r="A425" t="str">
        <x:v>CESR00084</x:v>
      </x:c>
      <x:c r="B425" t="str">
        <x:v>21123050095</x:v>
      </x:c>
      <x:c r="C425" t="str">
        <x:v>BYOND</x:v>
      </x:c>
      <x:c r="D425" t="str">
        <x:v>Sunfusion Semi-2</x:v>
      </x:c>
      <x:c r="E425" t="str">
        <x:v>Sunfusion Semi-2</x:v>
      </x:c>
      <x:c r="F425" t="str">
        <x:v>BYOND_PUMP</x:v>
      </x:c>
      <x:c r="G425" t="str">
        <x:v>GJ</x:v>
      </x:c>
      <x:c r="H425" t="str">
        <x:v>เช่ายืม</x:v>
      </x:c>
      <x:c r="I425" t="str">
        <x:v>พร้อมส่ง</x:v>
      </x:c>
      <x:c r="J425" t="str">
        <x:v>เช่ายืม</x:v>
      </x:c>
      <x:c r="K425" t="str">
        <x:v>อยู่ระหว่างเช่ายืม</x:v>
      </x:c>
      <x:c r="L425"/>
      <x:c r="M425" t="str">
        <x:f>IF(OR(H425="ใช้งานไม่ได้",H425="BROKEN",H425="Broken"),"ใช้งานไม่ได้",IF(OR(H425="ไม่พบในรายการ",H425="MISSING",H425="Missing"),"ไม่พบในรายการ",IF(OR(J425="เช่ายืม",J425="IN_USE",J425="IN-USE",H425="เช่ายืม"),"เช่ายืม",IF(H425="พร้อมส่ง","พร้อมส่ง","รอสอบเทียบ"))))</x:f>
        <x:v>เช่ายืม</x:v>
      </x:c>
    </x:row>
    <x:row r="426">
      <x:c r="A426" t="str">
        <x:v>CESR00085</x:v>
      </x:c>
      <x:c r="B426" t="str">
        <x:v>21123050096</x:v>
      </x:c>
      <x:c r="C426" t="str">
        <x:v>BYOND</x:v>
      </x:c>
      <x:c r="D426" t="str">
        <x:v>Sunfusion Semi-2</x:v>
      </x:c>
      <x:c r="E426" t="str">
        <x:v>Sunfusion Semi-2</x:v>
      </x:c>
      <x:c r="F426" t="str">
        <x:v>BYOND_PUMP</x:v>
      </x:c>
      <x:c r="G426" t="str">
        <x:v>Warehouse</x:v>
      </x:c>
      <x:c r="H426" t="str">
        <x:v>รอสอบเทียบ</x:v>
      </x:c>
      <x:c r="I426" t="str">
        <x:v>รอสอบเทียบ</x:v>
      </x:c>
      <x:c r="J426" t="str">
        <x:v>ไม่มีสัญญา</x:v>
      </x:c>
      <x:c r="K426" t="str">
        <x:v>รอสอบเทียบก่อนพร้อมส่ง</x:v>
      </x:c>
      <x:c r="L426" t="str">
        <x:v>ไม่ได้เช่ายืม = รอสอบเทียบ</x:v>
      </x:c>
      <x:c r="M426" t="str">
        <x:f>IF(OR(H426="ใช้งานไม่ได้",H426="BROKEN",H426="Broken"),"ใช้งานไม่ได้",IF(OR(H426="ไม่พบในรายการ",H426="MISSING",H426="Missing"),"ไม่พบในรายการ",IF(OR(J426="เช่ายืม",J426="IN_USE",J426="IN-USE",H426="เช่ายืม"),"เช่ายืม",IF(H426="พร้อมส่ง","พร้อมส่ง","รอสอบเทียบ"))))</x:f>
        <x:v>รอสอบเทียบ</x:v>
      </x:c>
    </x:row>
    <x:row r="427">
      <x:c r="A427" t="str">
        <x:v>CESR00086</x:v>
      </x:c>
      <x:c r="B427" t="str">
        <x:v>21123050097</x:v>
      </x:c>
      <x:c r="C427" t="str">
        <x:v>BYOND</x:v>
      </x:c>
      <x:c r="D427" t="str">
        <x:v>Sunfusion Semi-2</x:v>
      </x:c>
      <x:c r="E427" t="str">
        <x:v>Sunfusion Semi-2</x:v>
      </x:c>
      <x:c r="F427" t="str">
        <x:v>BYOND_PUMP</x:v>
      </x:c>
      <x:c r="G427" t="str">
        <x:v>Warehouse</x:v>
      </x:c>
      <x:c r="H427" t="str">
        <x:v>รอสอบเทียบ</x:v>
      </x:c>
      <x:c r="I427" t="str">
        <x:v>รอสอบเทียบ</x:v>
      </x:c>
      <x:c r="J427" t="str">
        <x:v>ไม่มีสัญญา</x:v>
      </x:c>
      <x:c r="K427" t="str">
        <x:v>รอสอบเทียบก่อนพร้อมส่ง</x:v>
      </x:c>
      <x:c r="L427" t="str">
        <x:v>ไม่ได้เช่ายืม = รอสอบเทียบ</x:v>
      </x:c>
      <x:c r="M427" t="str">
        <x:f>IF(OR(H427="ใช้งานไม่ได้",H427="BROKEN",H427="Broken"),"ใช้งานไม่ได้",IF(OR(H427="ไม่พบในรายการ",H427="MISSING",H427="Missing"),"ไม่พบในรายการ",IF(OR(J427="เช่ายืม",J427="IN_USE",J427="IN-USE",H427="เช่ายืม"),"เช่ายืม",IF(H427="พร้อมส่ง","พร้อมส่ง","รอสอบเทียบ"))))</x:f>
        <x:v>รอสอบเทียบ</x:v>
      </x:c>
    </x:row>
    <x:row r="428">
      <x:c r="A428" t="str">
        <x:v>CESR00087</x:v>
      </x:c>
      <x:c r="B428" t="str">
        <x:v>21123050098</x:v>
      </x:c>
      <x:c r="C428" t="str">
        <x:v>BYOND</x:v>
      </x:c>
      <x:c r="D428" t="str">
        <x:v>Sunfusion Semi-2</x:v>
      </x:c>
      <x:c r="E428" t="str">
        <x:v>Sunfusion Semi-2</x:v>
      </x:c>
      <x:c r="F428" t="str">
        <x:v>BYOND_PUMP</x:v>
      </x:c>
      <x:c r="G428" t="str">
        <x:v>Warehouse</x:v>
      </x:c>
      <x:c r="H428" t="str">
        <x:v>รอสอบเทียบ</x:v>
      </x:c>
      <x:c r="I428" t="str">
        <x:v>รอสอบเทียบ</x:v>
      </x:c>
      <x:c r="J428" t="str">
        <x:v>ไม่มีสัญญา</x:v>
      </x:c>
      <x:c r="K428" t="str">
        <x:v>รอสอบเทียบก่อนพร้อมส่ง</x:v>
      </x:c>
      <x:c r="L428" t="str">
        <x:v>ไม่ได้เช่ายืม = รอสอบเทียบ</x:v>
      </x:c>
      <x:c r="M428" t="str">
        <x:f>IF(OR(H428="ใช้งานไม่ได้",H428="BROKEN",H428="Broken"),"ใช้งานไม่ได้",IF(OR(H428="ไม่พบในรายการ",H428="MISSING",H428="Missing"),"ไม่พบในรายการ",IF(OR(J428="เช่ายืม",J428="IN_USE",J428="IN-USE",H428="เช่ายืม"),"เช่ายืม",IF(H428="พร้อมส่ง","พร้อมส่ง","รอสอบเทียบ"))))</x:f>
        <x:v>รอสอบเทียบ</x:v>
      </x:c>
    </x:row>
    <x:row r="429">
      <x:c r="A429" t="str">
        <x:v>CESR00088</x:v>
      </x:c>
      <x:c r="B429" t="str">
        <x:v>21123050099</x:v>
      </x:c>
      <x:c r="C429" t="str">
        <x:v>BYOND</x:v>
      </x:c>
      <x:c r="D429" t="str">
        <x:v>Sunfusion Semi-2</x:v>
      </x:c>
      <x:c r="E429" t="str">
        <x:v>Sunfusion Semi-2</x:v>
      </x:c>
      <x:c r="F429" t="str">
        <x:v>BYOND_PUMP</x:v>
      </x:c>
      <x:c r="G429" t="str">
        <x:v>GJ</x:v>
      </x:c>
      <x:c r="H429" t="str">
        <x:v>เช่ายืม</x:v>
      </x:c>
      <x:c r="I429" t="str">
        <x:v>พร้อมส่ง</x:v>
      </x:c>
      <x:c r="J429" t="str">
        <x:v>เช่ายืม</x:v>
      </x:c>
      <x:c r="K429" t="str">
        <x:v>อยู่ระหว่างเช่ายืม</x:v>
      </x:c>
      <x:c r="L429"/>
      <x:c r="M429" t="str">
        <x:f>IF(OR(H429="ใช้งานไม่ได้",H429="BROKEN",H429="Broken"),"ใช้งานไม่ได้",IF(OR(H429="ไม่พบในรายการ",H429="MISSING",H429="Missing"),"ไม่พบในรายการ",IF(OR(J429="เช่ายืม",J429="IN_USE",J429="IN-USE",H429="เช่ายืม"),"เช่ายืม",IF(H429="พร้อมส่ง","พร้อมส่ง","รอสอบเทียบ"))))</x:f>
        <x:v>เช่ายืม</x:v>
      </x:c>
    </x:row>
    <x:row r="430">
      <x:c r="A430" t="str">
        <x:v>CESR00089</x:v>
      </x:c>
      <x:c r="B430" t="str">
        <x:v>21123050101</x:v>
      </x:c>
      <x:c r="C430" t="str">
        <x:v>BYOND</x:v>
      </x:c>
      <x:c r="D430" t="str">
        <x:v>Sunfusion Semi-2</x:v>
      </x:c>
      <x:c r="E430" t="str">
        <x:v>Sunfusion Semi-2</x:v>
      </x:c>
      <x:c r="F430" t="str">
        <x:v>BYOND_PUMP</x:v>
      </x:c>
      <x:c r="G430" t="str">
        <x:v>Warehouse</x:v>
      </x:c>
      <x:c r="H430" t="str">
        <x:v>รอสอบเทียบ</x:v>
      </x:c>
      <x:c r="I430" t="str">
        <x:v>รอสอบเทียบ</x:v>
      </x:c>
      <x:c r="J430" t="str">
        <x:v>ไม่มีสัญญา</x:v>
      </x:c>
      <x:c r="K430" t="str">
        <x:v>รอสอบเทียบก่อนพร้อมส่ง</x:v>
      </x:c>
      <x:c r="L430" t="str">
        <x:v>ไม่ได้เช่ายืม = รอสอบเทียบ</x:v>
      </x:c>
      <x:c r="M430" t="str">
        <x:f>IF(OR(H430="ใช้งานไม่ได้",H430="BROKEN",H430="Broken"),"ใช้งานไม่ได้",IF(OR(H430="ไม่พบในรายการ",H430="MISSING",H430="Missing"),"ไม่พบในรายการ",IF(OR(J430="เช่ายืม",J430="IN_USE",J430="IN-USE",H430="เช่ายืม"),"เช่ายืม",IF(H430="พร้อมส่ง","พร้อมส่ง","รอสอบเทียบ"))))</x:f>
        <x:v>รอสอบเทียบ</x:v>
      </x:c>
    </x:row>
    <x:row r="431">
      <x:c r="A431" t="str">
        <x:v>CESR00090</x:v>
      </x:c>
      <x:c r="B431" t="str">
        <x:v>21123050102</x:v>
      </x:c>
      <x:c r="C431" t="str">
        <x:v>BYOND</x:v>
      </x:c>
      <x:c r="D431" t="str">
        <x:v>Sunfusion Semi-2</x:v>
      </x:c>
      <x:c r="E431" t="str">
        <x:v>Sunfusion Semi-2</x:v>
      </x:c>
      <x:c r="F431" t="str">
        <x:v>BYOND_PUMP</x:v>
      </x:c>
      <x:c r="G431" t="str">
        <x:v>GJ</x:v>
      </x:c>
      <x:c r="H431" t="str">
        <x:v>เช่ายืม</x:v>
      </x:c>
      <x:c r="I431" t="str">
        <x:v>พร้อมส่ง</x:v>
      </x:c>
      <x:c r="J431" t="str">
        <x:v>เช่ายืม</x:v>
      </x:c>
      <x:c r="K431" t="str">
        <x:v>อยู่ระหว่างเช่ายืม</x:v>
      </x:c>
      <x:c r="L431"/>
      <x:c r="M431" t="str">
        <x:f>IF(OR(H431="ใช้งานไม่ได้",H431="BROKEN",H431="Broken"),"ใช้งานไม่ได้",IF(OR(H431="ไม่พบในรายการ",H431="MISSING",H431="Missing"),"ไม่พบในรายการ",IF(OR(J431="เช่ายืม",J431="IN_USE",J431="IN-USE",H431="เช่ายืม"),"เช่ายืม",IF(H431="พร้อมส่ง","พร้อมส่ง","รอสอบเทียบ"))))</x:f>
        <x:v>เช่ายืม</x:v>
      </x:c>
    </x:row>
    <x:row r="432">
      <x:c r="A432" t="str">
        <x:v>CESR00091</x:v>
      </x:c>
      <x:c r="B432" t="str">
        <x:v>21123050103</x:v>
      </x:c>
      <x:c r="C432" t="str">
        <x:v>BYOND</x:v>
      </x:c>
      <x:c r="D432" t="str">
        <x:v>Sunfusion Semi-2</x:v>
      </x:c>
      <x:c r="E432" t="str">
        <x:v>Sunfusion Semi-2</x:v>
      </x:c>
      <x:c r="F432" t="str">
        <x:v>BYOND_PUMP</x:v>
      </x:c>
      <x:c r="G432" t="str">
        <x:v>Warehouse</x:v>
      </x:c>
      <x:c r="H432" t="str">
        <x:v>รอสอบเทียบ</x:v>
      </x:c>
      <x:c r="I432" t="str">
        <x:v>รอสอบเทียบ</x:v>
      </x:c>
      <x:c r="J432" t="str">
        <x:v>ไม่มีสัญญา</x:v>
      </x:c>
      <x:c r="K432" t="str">
        <x:v>รอสอบเทียบก่อนพร้อมส่ง</x:v>
      </x:c>
      <x:c r="L432" t="str">
        <x:v>ไม่ได้เช่ายืม = รอสอบเทียบ</x:v>
      </x:c>
      <x:c r="M432" t="str">
        <x:f>IF(OR(H432="ใช้งานไม่ได้",H432="BROKEN",H432="Broken"),"ใช้งานไม่ได้",IF(OR(H432="ไม่พบในรายการ",H432="MISSING",H432="Missing"),"ไม่พบในรายการ",IF(OR(J432="เช่ายืม",J432="IN_USE",J432="IN-USE",H432="เช่ายืม"),"เช่ายืม",IF(H432="พร้อมส่ง","พร้อมส่ง","รอสอบเทียบ"))))</x:f>
        <x:v>รอสอบเทียบ</x:v>
      </x:c>
    </x:row>
    <x:row r="433">
      <x:c r="A433" t="str">
        <x:v>CESR00092</x:v>
      </x:c>
      <x:c r="B433" t="str">
        <x:v>21123050104</x:v>
      </x:c>
      <x:c r="C433" t="str">
        <x:v>BYOND</x:v>
      </x:c>
      <x:c r="D433" t="str">
        <x:v>Sunfusion Semi-2</x:v>
      </x:c>
      <x:c r="E433" t="str">
        <x:v>Sunfusion Semi-2</x:v>
      </x:c>
      <x:c r="F433" t="str">
        <x:v>BYOND_PUMP</x:v>
      </x:c>
      <x:c r="G433" t="str">
        <x:v>Warehouse</x:v>
      </x:c>
      <x:c r="H433" t="str">
        <x:v>รอสอบเทียบ</x:v>
      </x:c>
      <x:c r="I433" t="str">
        <x:v>รอสอบเทียบ</x:v>
      </x:c>
      <x:c r="J433" t="str">
        <x:v>ไม่มีสัญญา</x:v>
      </x:c>
      <x:c r="K433" t="str">
        <x:v>รอสอบเทียบก่อนพร้อมส่ง</x:v>
      </x:c>
      <x:c r="L433" t="str">
        <x:v>ไม่ได้เช่ายืม = รอสอบเทียบ</x:v>
      </x:c>
      <x:c r="M433" t="str">
        <x:f>IF(OR(H433="ใช้งานไม่ได้",H433="BROKEN",H433="Broken"),"ใช้งานไม่ได้",IF(OR(H433="ไม่พบในรายการ",H433="MISSING",H433="Missing"),"ไม่พบในรายการ",IF(OR(J433="เช่ายืม",J433="IN_USE",J433="IN-USE",H433="เช่ายืม"),"เช่ายืม",IF(H433="พร้อมส่ง","พร้อมส่ง","รอสอบเทียบ"))))</x:f>
        <x:v>รอสอบเทียบ</x:v>
      </x:c>
    </x:row>
    <x:row r="434">
      <x:c r="A434" t="str">
        <x:v>CESR00093</x:v>
      </x:c>
      <x:c r="B434" t="str">
        <x:v>21123050105</x:v>
      </x:c>
      <x:c r="C434" t="str">
        <x:v>BYOND</x:v>
      </x:c>
      <x:c r="D434" t="str">
        <x:v>Sunfusion Semi-2</x:v>
      </x:c>
      <x:c r="E434" t="str">
        <x:v>Sunfusion Semi-2</x:v>
      </x:c>
      <x:c r="F434" t="str">
        <x:v>BYOND_PUMP</x:v>
      </x:c>
      <x:c r="G434" t="str">
        <x:v>Warehouse</x:v>
      </x:c>
      <x:c r="H434" t="str">
        <x:v>รอสอบเทียบ</x:v>
      </x:c>
      <x:c r="I434" t="str">
        <x:v>รอสอบเทียบ</x:v>
      </x:c>
      <x:c r="J434" t="str">
        <x:v>ไม่มีสัญญา</x:v>
      </x:c>
      <x:c r="K434" t="str">
        <x:v>รอสอบเทียบก่อนพร้อมส่ง</x:v>
      </x:c>
      <x:c r="L434" t="str">
        <x:v>ไม่ได้เช่ายืม = รอสอบเทียบ</x:v>
      </x:c>
      <x:c r="M434" t="str">
        <x:f>IF(OR(H434="ใช้งานไม่ได้",H434="BROKEN",H434="Broken"),"ใช้งานไม่ได้",IF(OR(H434="ไม่พบในรายการ",H434="MISSING",H434="Missing"),"ไม่พบในรายการ",IF(OR(J434="เช่ายืม",J434="IN_USE",J434="IN-USE",H434="เช่ายืม"),"เช่ายืม",IF(H434="พร้อมส่ง","พร้อมส่ง","รอสอบเทียบ"))))</x:f>
        <x:v>รอสอบเทียบ</x:v>
      </x:c>
    </x:row>
    <x:row r="435">
      <x:c r="A435" t="str">
        <x:v>CESR00094</x:v>
      </x:c>
      <x:c r="B435" t="str">
        <x:v>21123050106</x:v>
      </x:c>
      <x:c r="C435" t="str">
        <x:v>BYOND</x:v>
      </x:c>
      <x:c r="D435" t="str">
        <x:v>Sunfusion Semi-2</x:v>
      </x:c>
      <x:c r="E435" t="str">
        <x:v>Sunfusion Semi-2</x:v>
      </x:c>
      <x:c r="F435" t="str">
        <x:v>BYOND_PUMP</x:v>
      </x:c>
      <x:c r="G435" t="str">
        <x:v>รพ.สูงเนิน</x:v>
      </x:c>
      <x:c r="H435" t="str">
        <x:v>เช่ายืม</x:v>
      </x:c>
      <x:c r="I435" t="str">
        <x:v>พร้อมส่ง</x:v>
      </x:c>
      <x:c r="J435" t="str">
        <x:v>เช่ายืม</x:v>
      </x:c>
      <x:c r="K435" t="str">
        <x:v>อยู่ระหว่างเช่ายืม</x:v>
      </x:c>
      <x:c r="L435"/>
      <x:c r="M435" t="str">
        <x:f>IF(OR(H435="ใช้งานไม่ได้",H435="BROKEN",H435="Broken"),"ใช้งานไม่ได้",IF(OR(H435="ไม่พบในรายการ",H435="MISSING",H435="Missing"),"ไม่พบในรายการ",IF(OR(J435="เช่ายืม",J435="IN_USE",J435="IN-USE",H435="เช่ายืม"),"เช่ายืม",IF(H435="พร้อมส่ง","พร้อมส่ง","รอสอบเทียบ"))))</x:f>
        <x:v>เช่ายืม</x:v>
      </x:c>
    </x:row>
    <x:row r="436">
      <x:c r="A436" t="str">
        <x:v>CESR00095</x:v>
      </x:c>
      <x:c r="B436" t="str">
        <x:v>21123050107</x:v>
      </x:c>
      <x:c r="C436" t="str">
        <x:v>BYOND</x:v>
      </x:c>
      <x:c r="D436" t="str">
        <x:v>Sunfusion Semi-2</x:v>
      </x:c>
      <x:c r="E436" t="str">
        <x:v>Sunfusion Semi-2</x:v>
      </x:c>
      <x:c r="F436" t="str">
        <x:v>BYOND_PUMP</x:v>
      </x:c>
      <x:c r="G436" t="str">
        <x:v>Warehouse</x:v>
      </x:c>
      <x:c r="H436" t="str">
        <x:v>รอสอบเทียบ</x:v>
      </x:c>
      <x:c r="I436" t="str">
        <x:v>รอสอบเทียบ</x:v>
      </x:c>
      <x:c r="J436" t="str">
        <x:v>ไม่มีสัญญา</x:v>
      </x:c>
      <x:c r="K436" t="str">
        <x:v>รอสอบเทียบก่อนพร้อมส่ง</x:v>
      </x:c>
      <x:c r="L436" t="str">
        <x:v>ไม่ได้เช่ายืม = รอสอบเทียบ</x:v>
      </x:c>
      <x:c r="M436" t="str">
        <x:f>IF(OR(H436="ใช้งานไม่ได้",H436="BROKEN",H436="Broken"),"ใช้งานไม่ได้",IF(OR(H436="ไม่พบในรายการ",H436="MISSING",H436="Missing"),"ไม่พบในรายการ",IF(OR(J436="เช่ายืม",J436="IN_USE",J436="IN-USE",H436="เช่ายืม"),"เช่ายืม",IF(H436="พร้อมส่ง","พร้อมส่ง","รอสอบเทียบ"))))</x:f>
        <x:v>รอสอบเทียบ</x:v>
      </x:c>
    </x:row>
    <x:row r="437">
      <x:c r="A437" t="str">
        <x:v>CESR00096</x:v>
      </x:c>
      <x:c r="B437" t="str">
        <x:v>21123050108</x:v>
      </x:c>
      <x:c r="C437" t="str">
        <x:v>BYOND</x:v>
      </x:c>
      <x:c r="D437" t="str">
        <x:v>Sunfusion Semi-2</x:v>
      </x:c>
      <x:c r="E437" t="str">
        <x:v>Sunfusion Semi-2</x:v>
      </x:c>
      <x:c r="F437" t="str">
        <x:v>BYOND_PUMP</x:v>
      </x:c>
      <x:c r="G437" t="str">
        <x:v>Warehouse</x:v>
      </x:c>
      <x:c r="H437" t="str">
        <x:v>รอสอบเทียบ</x:v>
      </x:c>
      <x:c r="I437" t="str">
        <x:v>รอสอบเทียบ</x:v>
      </x:c>
      <x:c r="J437" t="str">
        <x:v>ไม่มีสัญญา</x:v>
      </x:c>
      <x:c r="K437" t="str">
        <x:v>รอสอบเทียบก่อนพร้อมส่ง</x:v>
      </x:c>
      <x:c r="L437" t="str">
        <x:v>ไม่ได้เช่ายืม = รอสอบเทียบ</x:v>
      </x:c>
      <x:c r="M437" t="str">
        <x:f>IF(OR(H437="ใช้งานไม่ได้",H437="BROKEN",H437="Broken"),"ใช้งานไม่ได้",IF(OR(H437="ไม่พบในรายการ",H437="MISSING",H437="Missing"),"ไม่พบในรายการ",IF(OR(J437="เช่ายืม",J437="IN_USE",J437="IN-USE",H437="เช่ายืม"),"เช่ายืม",IF(H437="พร้อมส่ง","พร้อมส่ง","รอสอบเทียบ"))))</x:f>
        <x:v>รอสอบเทียบ</x:v>
      </x:c>
    </x:row>
    <x:row r="438">
      <x:c r="A438" t="str">
        <x:v>CESR00097</x:v>
      </x:c>
      <x:c r="B438" t="str">
        <x:v>21123050109</x:v>
      </x:c>
      <x:c r="C438" t="str">
        <x:v>BYOND</x:v>
      </x:c>
      <x:c r="D438" t="str">
        <x:v>Sunfusion Semi-2</x:v>
      </x:c>
      <x:c r="E438" t="str">
        <x:v>Sunfusion Semi-2</x:v>
      </x:c>
      <x:c r="F438" t="str">
        <x:v>BYOND_PUMP</x:v>
      </x:c>
      <x:c r="G438" t="str">
        <x:v>โรงพยาบาลบางมูลนาก จังหวัดพิจิตร</x:v>
      </x:c>
      <x:c r="H438" t="str">
        <x:v>เช่ายืม</x:v>
      </x:c>
      <x:c r="I438" t="str">
        <x:v>พร้อมส่ง</x:v>
      </x:c>
      <x:c r="J438" t="str">
        <x:v>เช่ายืม</x:v>
      </x:c>
      <x:c r="K438" t="str">
        <x:v>อยู่ระหว่างเช่ายืม / เกินกำหนดคืน 231 วัน</x:v>
      </x:c>
      <x:c r="L438"/>
      <x:c r="M438" t="str">
        <x:f>IF(OR(H438="ใช้งานไม่ได้",H438="BROKEN",H438="Broken"),"ใช้งานไม่ได้",IF(OR(H438="ไม่พบในรายการ",H438="MISSING",H438="Missing"),"ไม่พบในรายการ",IF(OR(J438="เช่ายืม",J438="IN_USE",J438="IN-USE",H438="เช่ายืม"),"เช่ายืม",IF(H438="พร้อมส่ง","พร้อมส่ง","รอสอบเทียบ"))))</x:f>
        <x:v>เช่ายืม</x:v>
      </x:c>
    </x:row>
    <x:row r="439">
      <x:c r="A439" t="str">
        <x:v>CESR00098</x:v>
      </x:c>
      <x:c r="B439" t="str">
        <x:v>21123050110</x:v>
      </x:c>
      <x:c r="C439" t="str">
        <x:v>BYOND</x:v>
      </x:c>
      <x:c r="D439" t="str">
        <x:v>Sunfusion Semi-2</x:v>
      </x:c>
      <x:c r="E439" t="str">
        <x:v>Sunfusion Semi-2</x:v>
      </x:c>
      <x:c r="F439" t="str">
        <x:v>BYOND_PUMP</x:v>
      </x:c>
      <x:c r="G439" t="str">
        <x:v>Warehouse</x:v>
      </x:c>
      <x:c r="H439" t="str">
        <x:v>รอสอบเทียบ</x:v>
      </x:c>
      <x:c r="I439" t="str">
        <x:v>รอสอบเทียบ</x:v>
      </x:c>
      <x:c r="J439" t="str">
        <x:v>ไม่มีสัญญา</x:v>
      </x:c>
      <x:c r="K439" t="str">
        <x:v>รอสอบเทียบก่อนพร้อมส่ง</x:v>
      </x:c>
      <x:c r="L439" t="str">
        <x:v>ไม่ได้เช่ายืม = รอสอบเทียบ</x:v>
      </x:c>
      <x:c r="M439" t="str">
        <x:f>IF(OR(H439="ใช้งานไม่ได้",H439="BROKEN",H439="Broken"),"ใช้งานไม่ได้",IF(OR(H439="ไม่พบในรายการ",H439="MISSING",H439="Missing"),"ไม่พบในรายการ",IF(OR(J439="เช่ายืม",J439="IN_USE",J439="IN-USE",H439="เช่ายืม"),"เช่ายืม",IF(H439="พร้อมส่ง","พร้อมส่ง","รอสอบเทียบ"))))</x:f>
        <x:v>รอสอบเทียบ</x:v>
      </x:c>
    </x:row>
    <x:row r="440">
      <x:c r="A440" t="str">
        <x:v>CESR00099</x:v>
      </x:c>
      <x:c r="B440" t="str">
        <x:v>21123050111</x:v>
      </x:c>
      <x:c r="C440" t="str">
        <x:v>BYOND</x:v>
      </x:c>
      <x:c r="D440" t="str">
        <x:v>Sunfusion Semi-2</x:v>
      </x:c>
      <x:c r="E440" t="str">
        <x:v>Sunfusion Semi-2</x:v>
      </x:c>
      <x:c r="F440" t="str">
        <x:v>BYOND_PUMP</x:v>
      </x:c>
      <x:c r="G440" t="str">
        <x:v>รพ.สูงเนิน</x:v>
      </x:c>
      <x:c r="H440" t="str">
        <x:v>เช่ายืม</x:v>
      </x:c>
      <x:c r="I440" t="str">
        <x:v>พร้อมส่ง</x:v>
      </x:c>
      <x:c r="J440" t="str">
        <x:v>เช่ายืม</x:v>
      </x:c>
      <x:c r="K440" t="str">
        <x:v>No action</x:v>
      </x:c>
      <x:c r="L440"/>
      <x:c r="M440" t="str">
        <x:f>IF(OR(H440="ใช้งานไม่ได้",H440="BROKEN",H440="Broken"),"ใช้งานไม่ได้",IF(OR(H440="ไม่พบในรายการ",H440="MISSING",H440="Missing"),"ไม่พบในรายการ",IF(OR(J440="เช่ายืม",J440="IN_USE",J440="IN-USE",H440="เช่ายืม"),"เช่ายืม",IF(H440="พร้อมส่ง","พร้อมส่ง","รอสอบเทียบ"))))</x:f>
        <x:v>เช่ายืม</x:v>
      </x:c>
    </x:row>
    <x:row r="441">
      <x:c r="A441" t="str">
        <x:v>CESR00100</x:v>
      </x:c>
      <x:c r="B441" t="str">
        <x:v>21123050112</x:v>
      </x:c>
      <x:c r="C441" t="str">
        <x:v>BYOND</x:v>
      </x:c>
      <x:c r="D441" t="str">
        <x:v>Sunfusion Semi-2</x:v>
      </x:c>
      <x:c r="E441" t="str">
        <x:v>Sunfusion Semi-2</x:v>
      </x:c>
      <x:c r="F441" t="str">
        <x:v>BYOND_PUMP</x:v>
      </x:c>
      <x:c r="G441" t="str">
        <x:v>Warehouse</x:v>
      </x:c>
      <x:c r="H441" t="str">
        <x:v>รอสอบเทียบ</x:v>
      </x:c>
      <x:c r="I441" t="str">
        <x:v>รอสอบเทียบ</x:v>
      </x:c>
      <x:c r="J441" t="str">
        <x:v>ไม่มีสัญญา</x:v>
      </x:c>
      <x:c r="K441" t="str">
        <x:v>รอสอบเทียบก่อนพร้อมส่ง</x:v>
      </x:c>
      <x:c r="L441" t="str">
        <x:v>ไม่ได้เช่ายืม = รอสอบเทียบ</x:v>
      </x:c>
      <x:c r="M441" t="str">
        <x:f>IF(OR(H441="ใช้งานไม่ได้",H441="BROKEN",H441="Broken"),"ใช้งานไม่ได้",IF(OR(H441="ไม่พบในรายการ",H441="MISSING",H441="Missing"),"ไม่พบในรายการ",IF(OR(J441="เช่ายืม",J441="IN_USE",J441="IN-USE",H441="เช่ายืม"),"เช่ายืม",IF(H441="พร้อมส่ง","พร้อมส่ง","รอสอบเทียบ"))))</x:f>
        <x:v>รอสอบเทียบ</x:v>
      </x:c>
    </x:row>
    <x:row r="442">
      <x:c r="A442" t="str">
        <x:v>CESR00101</x:v>
      </x:c>
      <x:c r="B442" t="str">
        <x:v>21123050113</x:v>
      </x:c>
      <x:c r="C442" t="str">
        <x:v>BYOND</x:v>
      </x:c>
      <x:c r="D442" t="str">
        <x:v>Sunfusion Semi-2</x:v>
      </x:c>
      <x:c r="E442" t="str">
        <x:v>Sunfusion Semi-2</x:v>
      </x:c>
      <x:c r="F442" t="str">
        <x:v>BYOND_PUMP</x:v>
      </x:c>
      <x:c r="G442" t="str">
        <x:v>GJ</x:v>
      </x:c>
      <x:c r="H442" t="str">
        <x:v>เช่ายืม</x:v>
      </x:c>
      <x:c r="I442" t="str">
        <x:v>พร้อมส่ง</x:v>
      </x:c>
      <x:c r="J442" t="str">
        <x:v>เช่ายืม</x:v>
      </x:c>
      <x:c r="K442" t="str">
        <x:v>อยู่ระหว่างเช่ายืม</x:v>
      </x:c>
      <x:c r="L442"/>
      <x:c r="M442" t="str">
        <x:f>IF(OR(H442="ใช้งานไม่ได้",H442="BROKEN",H442="Broken"),"ใช้งานไม่ได้",IF(OR(H442="ไม่พบในรายการ",H442="MISSING",H442="Missing"),"ไม่พบในรายการ",IF(OR(J442="เช่ายืม",J442="IN_USE",J442="IN-USE",H442="เช่ายืม"),"เช่ายืม",IF(H442="พร้อมส่ง","พร้อมส่ง","รอสอบเทียบ"))))</x:f>
        <x:v>เช่ายืม</x:v>
      </x:c>
    </x:row>
    <x:row r="443">
      <x:c r="A443" t="str">
        <x:v>CESR00102</x:v>
      </x:c>
      <x:c r="B443" t="str">
        <x:v>21123050115</x:v>
      </x:c>
      <x:c r="C443" t="str">
        <x:v>BYOND</x:v>
      </x:c>
      <x:c r="D443" t="str">
        <x:v>Sunfusion Semi-2</x:v>
      </x:c>
      <x:c r="E443" t="str">
        <x:v>Sunfusion Semi-2</x:v>
      </x:c>
      <x:c r="F443" t="str">
        <x:v>BYOND_PUMP</x:v>
      </x:c>
      <x:c r="G443" t="str">
        <x:v>Warehouse</x:v>
      </x:c>
      <x:c r="H443" t="str">
        <x:v>รอสอบเทียบ</x:v>
      </x:c>
      <x:c r="I443" t="str">
        <x:v>รอสอบเทียบ</x:v>
      </x:c>
      <x:c r="J443" t="str">
        <x:v>ไม่มีสัญญา</x:v>
      </x:c>
      <x:c r="K443" t="str">
        <x:v>รอสอบเทียบก่อนพร้อมส่ง</x:v>
      </x:c>
      <x:c r="L443" t="str">
        <x:v>ไม่ได้เช่ายืม = รอสอบเทียบ</x:v>
      </x:c>
      <x:c r="M443" t="str">
        <x:f>IF(OR(H443="ใช้งานไม่ได้",H443="BROKEN",H443="Broken"),"ใช้งานไม่ได้",IF(OR(H443="ไม่พบในรายการ",H443="MISSING",H443="Missing"),"ไม่พบในรายการ",IF(OR(J443="เช่ายืม",J443="IN_USE",J443="IN-USE",H443="เช่ายืม"),"เช่ายืม",IF(H443="พร้อมส่ง","พร้อมส่ง","รอสอบเทียบ"))))</x:f>
        <x:v>รอสอบเทียบ</x:v>
      </x:c>
    </x:row>
    <x:row r="444">
      <x:c r="A444" t="str">
        <x:v>CESR00103</x:v>
      </x:c>
      <x:c r="B444" t="str">
        <x:v>21123050116</x:v>
      </x:c>
      <x:c r="C444" t="str">
        <x:v>BYOND</x:v>
      </x:c>
      <x:c r="D444" t="str">
        <x:v>Sunfusion Semi-2</x:v>
      </x:c>
      <x:c r="E444" t="str">
        <x:v>Sunfusion Semi-2</x:v>
      </x:c>
      <x:c r="F444" t="str">
        <x:v>BYOND_PUMP</x:v>
      </x:c>
      <x:c r="G444" t="str">
        <x:v>Warehouse</x:v>
      </x:c>
      <x:c r="H444" t="str">
        <x:v>รอสอบเทียบ</x:v>
      </x:c>
      <x:c r="I444" t="str">
        <x:v>รอสอบเทียบ</x:v>
      </x:c>
      <x:c r="J444" t="str">
        <x:v>ไม่มีสัญญา</x:v>
      </x:c>
      <x:c r="K444" t="str">
        <x:v>รอสอบเทียบก่อนพร้อมส่ง</x:v>
      </x:c>
      <x:c r="L444" t="str">
        <x:v>ไม่ได้เช่ายืม = รอสอบเทียบ</x:v>
      </x:c>
      <x:c r="M444" t="str">
        <x:f>IF(OR(H444="ใช้งานไม่ได้",H444="BROKEN",H444="Broken"),"ใช้งานไม่ได้",IF(OR(H444="ไม่พบในรายการ",H444="MISSING",H444="Missing"),"ไม่พบในรายการ",IF(OR(J444="เช่ายืม",J444="IN_USE",J444="IN-USE",H444="เช่ายืม"),"เช่ายืม",IF(H444="พร้อมส่ง","พร้อมส่ง","รอสอบเทียบ"))))</x:f>
        <x:v>รอสอบเทียบ</x:v>
      </x:c>
    </x:row>
    <x:row r="445">
      <x:c r="A445" t="str">
        <x:v>CESR00104</x:v>
      </x:c>
      <x:c r="B445" t="str">
        <x:v>21123050117</x:v>
      </x:c>
      <x:c r="C445" t="str">
        <x:v>BYOND</x:v>
      </x:c>
      <x:c r="D445" t="str">
        <x:v>Sunfusion Semi-2</x:v>
      </x:c>
      <x:c r="E445" t="str">
        <x:v>Sunfusion Semi-2</x:v>
      </x:c>
      <x:c r="F445" t="str">
        <x:v>BYOND_PUMP</x:v>
      </x:c>
      <x:c r="G445" t="str">
        <x:v>Warehouse</x:v>
      </x:c>
      <x:c r="H445" t="str">
        <x:v>รอสอบเทียบ</x:v>
      </x:c>
      <x:c r="I445" t="str">
        <x:v>รอสอบเทียบ</x:v>
      </x:c>
      <x:c r="J445" t="str">
        <x:v>ไม่มีสัญญา</x:v>
      </x:c>
      <x:c r="K445" t="str">
        <x:v>รอสอบเทียบก่อนพร้อมส่ง</x:v>
      </x:c>
      <x:c r="L445" t="str">
        <x:v>ไม่ได้เช่ายืม = รอสอบเทียบ</x:v>
      </x:c>
      <x:c r="M445" t="str">
        <x:f>IF(OR(H445="ใช้งานไม่ได้",H445="BROKEN",H445="Broken"),"ใช้งานไม่ได้",IF(OR(H445="ไม่พบในรายการ",H445="MISSING",H445="Missing"),"ไม่พบในรายการ",IF(OR(J445="เช่ายืม",J445="IN_USE",J445="IN-USE",H445="เช่ายืม"),"เช่ายืม",IF(H445="พร้อมส่ง","พร้อมส่ง","รอสอบเทียบ"))))</x:f>
        <x:v>รอสอบเทียบ</x:v>
      </x:c>
    </x:row>
    <x:row r="446">
      <x:c r="A446" t="str">
        <x:v>CESR00105</x:v>
      </x:c>
      <x:c r="B446" t="str">
        <x:v>21123050118</x:v>
      </x:c>
      <x:c r="C446" t="str">
        <x:v>BYOND</x:v>
      </x:c>
      <x:c r="D446" t="str">
        <x:v>Sunfusion Semi-2</x:v>
      </x:c>
      <x:c r="E446" t="str">
        <x:v>Sunfusion Semi-2</x:v>
      </x:c>
      <x:c r="F446" t="str">
        <x:v>BYOND_PUMP</x:v>
      </x:c>
      <x:c r="G446" t="str">
        <x:v>Warehouse</x:v>
      </x:c>
      <x:c r="H446" t="str">
        <x:v>รอสอบเทียบ</x:v>
      </x:c>
      <x:c r="I446" t="str">
        <x:v>รอสอบเทียบ</x:v>
      </x:c>
      <x:c r="J446" t="str">
        <x:v>ไม่มีสัญญา</x:v>
      </x:c>
      <x:c r="K446" t="str">
        <x:v>รอสอบเทียบก่อนพร้อมส่ง</x:v>
      </x:c>
      <x:c r="L446" t="str">
        <x:v>ไม่ได้เช่ายืม = รอสอบเทียบ</x:v>
      </x:c>
      <x:c r="M446" t="str">
        <x:f>IF(OR(H446="ใช้งานไม่ได้",H446="BROKEN",H446="Broken"),"ใช้งานไม่ได้",IF(OR(H446="ไม่พบในรายการ",H446="MISSING",H446="Missing"),"ไม่พบในรายการ",IF(OR(J446="เช่ายืม",J446="IN_USE",J446="IN-USE",H446="เช่ายืม"),"เช่ายืม",IF(H446="พร้อมส่ง","พร้อมส่ง","รอสอบเทียบ"))))</x:f>
        <x:v>รอสอบเทียบ</x:v>
      </x:c>
    </x:row>
    <x:row r="447">
      <x:c r="A447" t="str">
        <x:v>CESR00106</x:v>
      </x:c>
      <x:c r="B447" t="str">
        <x:v>21123050119</x:v>
      </x:c>
      <x:c r="C447" t="str">
        <x:v>BYOND</x:v>
      </x:c>
      <x:c r="D447" t="str">
        <x:v>Sunfusion Semi-2</x:v>
      </x:c>
      <x:c r="E447" t="str">
        <x:v>Sunfusion Semi-2</x:v>
      </x:c>
      <x:c r="F447" t="str">
        <x:v>BYOND_PUMP</x:v>
      </x:c>
      <x:c r="G447" t="str">
        <x:v>รพ.สูงเนิน</x:v>
      </x:c>
      <x:c r="H447" t="str">
        <x:v>เช่ายืม</x:v>
      </x:c>
      <x:c r="I447" t="str">
        <x:v>พร้อมส่ง</x:v>
      </x:c>
      <x:c r="J447" t="str">
        <x:v>เช่ายืม</x:v>
      </x:c>
      <x:c r="K447" t="str">
        <x:v>No action</x:v>
      </x:c>
      <x:c r="L447"/>
      <x:c r="M447" t="str">
        <x:f>IF(OR(H447="ใช้งานไม่ได้",H447="BROKEN",H447="Broken"),"ใช้งานไม่ได้",IF(OR(H447="ไม่พบในรายการ",H447="MISSING",H447="Missing"),"ไม่พบในรายการ",IF(OR(J447="เช่ายืม",J447="IN_USE",J447="IN-USE",H447="เช่ายืม"),"เช่ายืม",IF(H447="พร้อมส่ง","พร้อมส่ง","รอสอบเทียบ"))))</x:f>
        <x:v>เช่ายืม</x:v>
      </x:c>
    </x:row>
    <x:row r="448">
      <x:c r="A448" t="str">
        <x:v>CESR00107</x:v>
      </x:c>
      <x:c r="B448" t="str">
        <x:v>21123050120</x:v>
      </x:c>
      <x:c r="C448" t="str">
        <x:v>BYOND</x:v>
      </x:c>
      <x:c r="D448" t="str">
        <x:v>Sunfusion Semi-2</x:v>
      </x:c>
      <x:c r="E448" t="str">
        <x:v>Sunfusion Semi-2</x:v>
      </x:c>
      <x:c r="F448" t="str">
        <x:v>BYOND_PUMP</x:v>
      </x:c>
      <x:c r="G448" t="str">
        <x:v>Warehouse</x:v>
      </x:c>
      <x:c r="H448" t="str">
        <x:v>รอสอบเทียบ</x:v>
      </x:c>
      <x:c r="I448" t="str">
        <x:v>รอสอบเทียบ</x:v>
      </x:c>
      <x:c r="J448" t="str">
        <x:v>ไม่มีสัญญา</x:v>
      </x:c>
      <x:c r="K448" t="str">
        <x:v>รอสอบเทียบก่อนพร้อมส่ง</x:v>
      </x:c>
      <x:c r="L448" t="str">
        <x:v>ไม่ได้เช่ายืม = รอสอบเทียบ</x:v>
      </x:c>
      <x:c r="M448" t="str">
        <x:f>IF(OR(H448="ใช้งานไม่ได้",H448="BROKEN",H448="Broken"),"ใช้งานไม่ได้",IF(OR(H448="ไม่พบในรายการ",H448="MISSING",H448="Missing"),"ไม่พบในรายการ",IF(OR(J448="เช่ายืม",J448="IN_USE",J448="IN-USE",H448="เช่ายืม"),"เช่ายืม",IF(H448="พร้อมส่ง","พร้อมส่ง","รอสอบเทียบ"))))</x:f>
        <x:v>รอสอบเทียบ</x:v>
      </x:c>
    </x:row>
    <x:row r="449">
      <x:c r="A449" t="str">
        <x:v>CESR00108</x:v>
      </x:c>
      <x:c r="B449" t="str">
        <x:v>21123050122</x:v>
      </x:c>
      <x:c r="C449" t="str">
        <x:v>BYOND</x:v>
      </x:c>
      <x:c r="D449" t="str">
        <x:v>Sunfusion Semi-2</x:v>
      </x:c>
      <x:c r="E449" t="str">
        <x:v>Sunfusion Semi-2</x:v>
      </x:c>
      <x:c r="F449" t="str">
        <x:v>BYOND_PUMP</x:v>
      </x:c>
      <x:c r="G449" t="str">
        <x:v>GJ</x:v>
      </x:c>
      <x:c r="H449" t="str">
        <x:v>เช่ายืม</x:v>
      </x:c>
      <x:c r="I449" t="str">
        <x:v>พร้อมส่ง</x:v>
      </x:c>
      <x:c r="J449" t="str">
        <x:v>เช่ายืม</x:v>
      </x:c>
      <x:c r="K449" t="str">
        <x:v>อยู่ระหว่างเช่ายืม</x:v>
      </x:c>
      <x:c r="L449"/>
      <x:c r="M449" t="str">
        <x:f>IF(OR(H449="ใช้งานไม่ได้",H449="BROKEN",H449="Broken"),"ใช้งานไม่ได้",IF(OR(H449="ไม่พบในรายการ",H449="MISSING",H449="Missing"),"ไม่พบในรายการ",IF(OR(J449="เช่ายืม",J449="IN_USE",J449="IN-USE",H449="เช่ายืม"),"เช่ายืม",IF(H449="พร้อมส่ง","พร้อมส่ง","รอสอบเทียบ"))))</x:f>
        <x:v>เช่ายืม</x:v>
      </x:c>
    </x:row>
    <x:row r="450">
      <x:c r="A450" t="str">
        <x:v>CESR00109</x:v>
      </x:c>
      <x:c r="B450" t="str">
        <x:v>21123050123</x:v>
      </x:c>
      <x:c r="C450" t="str">
        <x:v>BYOND</x:v>
      </x:c>
      <x:c r="D450" t="str">
        <x:v>Sunfusion Semi-2</x:v>
      </x:c>
      <x:c r="E450" t="str">
        <x:v>Sunfusion Semi-2</x:v>
      </x:c>
      <x:c r="F450" t="str">
        <x:v>BYOND_PUMP</x:v>
      </x:c>
      <x:c r="G450" t="str">
        <x:v>Warehouse</x:v>
      </x:c>
      <x:c r="H450" t="str">
        <x:v>รอสอบเทียบ</x:v>
      </x:c>
      <x:c r="I450" t="str">
        <x:v>รอสอบเทียบ</x:v>
      </x:c>
      <x:c r="J450" t="str">
        <x:v>ไม่มีสัญญา</x:v>
      </x:c>
      <x:c r="K450" t="str">
        <x:v>รอสอบเทียบก่อนพร้อมส่ง</x:v>
      </x:c>
      <x:c r="L450" t="str">
        <x:v>ไม่ได้เช่ายืม = รอสอบเทียบ</x:v>
      </x:c>
      <x:c r="M450" t="str">
        <x:f>IF(OR(H450="ใช้งานไม่ได้",H450="BROKEN",H450="Broken"),"ใช้งานไม่ได้",IF(OR(H450="ไม่พบในรายการ",H450="MISSING",H450="Missing"),"ไม่พบในรายการ",IF(OR(J450="เช่ายืม",J450="IN_USE",J450="IN-USE",H450="เช่ายืม"),"เช่ายืม",IF(H450="พร้อมส่ง","พร้อมส่ง","รอสอบเทียบ"))))</x:f>
        <x:v>รอสอบเทียบ</x:v>
      </x:c>
    </x:row>
    <x:row r="451">
      <x:c r="A451" t="str">
        <x:v>CESR00110</x:v>
      </x:c>
      <x:c r="B451" t="str">
        <x:v>21123050124</x:v>
      </x:c>
      <x:c r="C451" t="str">
        <x:v>BYOND</x:v>
      </x:c>
      <x:c r="D451" t="str">
        <x:v>Sunfusion Semi-2</x:v>
      </x:c>
      <x:c r="E451" t="str">
        <x:v>Sunfusion Semi-2</x:v>
      </x:c>
      <x:c r="F451" t="str">
        <x:v>BYOND_PUMP</x:v>
      </x:c>
      <x:c r="G451" t="str">
        <x:v>Warehouse</x:v>
      </x:c>
      <x:c r="H451" t="str">
        <x:v>รอสอบเทียบ</x:v>
      </x:c>
      <x:c r="I451" t="str">
        <x:v>รอสอบเทียบ</x:v>
      </x:c>
      <x:c r="J451" t="str">
        <x:v>ไม่มีสัญญา</x:v>
      </x:c>
      <x:c r="K451" t="str">
        <x:v>รอสอบเทียบก่อนพร้อมส่ง</x:v>
      </x:c>
      <x:c r="L451" t="str">
        <x:v>ไม่ได้เช่ายืม = รอสอบเทียบ</x:v>
      </x:c>
      <x:c r="M451" t="str">
        <x:f>IF(OR(H451="ใช้งานไม่ได้",H451="BROKEN",H451="Broken"),"ใช้งานไม่ได้",IF(OR(H451="ไม่พบในรายการ",H451="MISSING",H451="Missing"),"ไม่พบในรายการ",IF(OR(J451="เช่ายืม",J451="IN_USE",J451="IN-USE",H451="เช่ายืม"),"เช่ายืม",IF(H451="พร้อมส่ง","พร้อมส่ง","รอสอบเทียบ"))))</x:f>
        <x:v>รอสอบเทียบ</x:v>
      </x:c>
    </x:row>
    <x:row r="452">
      <x:c r="A452" t="str">
        <x:v>CESR00111</x:v>
      </x:c>
      <x:c r="B452" t="str">
        <x:v>21123050125</x:v>
      </x:c>
      <x:c r="C452" t="str">
        <x:v>BYOND</x:v>
      </x:c>
      <x:c r="D452" t="str">
        <x:v>Sunfusion Semi-2</x:v>
      </x:c>
      <x:c r="E452" t="str">
        <x:v>Sunfusion Semi-2</x:v>
      </x:c>
      <x:c r="F452" t="str">
        <x:v>BYOND_PUMP</x:v>
      </x:c>
      <x:c r="G452" t="str">
        <x:v>GJ</x:v>
      </x:c>
      <x:c r="H452" t="str">
        <x:v>เช่ายืม</x:v>
      </x:c>
      <x:c r="I452" t="str">
        <x:v>พร้อมส่ง</x:v>
      </x:c>
      <x:c r="J452" t="str">
        <x:v>เช่ายืม</x:v>
      </x:c>
      <x:c r="K452" t="str">
        <x:v>อยู่ระหว่างเช่ายืม</x:v>
      </x:c>
      <x:c r="L452"/>
      <x:c r="M452" t="str">
        <x:f>IF(OR(H452="ใช้งานไม่ได้",H452="BROKEN",H452="Broken"),"ใช้งานไม่ได้",IF(OR(H452="ไม่พบในรายการ",H452="MISSING",H452="Missing"),"ไม่พบในรายการ",IF(OR(J452="เช่ายืม",J452="IN_USE",J452="IN-USE",H452="เช่ายืม"),"เช่ายืม",IF(H452="พร้อมส่ง","พร้อมส่ง","รอสอบเทียบ"))))</x:f>
        <x:v>เช่ายืม</x:v>
      </x:c>
    </x:row>
    <x:row r="453">
      <x:c r="A453" t="str">
        <x:v>CESR00112</x:v>
      </x:c>
      <x:c r="B453" t="str">
        <x:v>21123050126</x:v>
      </x:c>
      <x:c r="C453" t="str">
        <x:v>BYOND</x:v>
      </x:c>
      <x:c r="D453" t="str">
        <x:v>Sunfusion Semi-2</x:v>
      </x:c>
      <x:c r="E453" t="str">
        <x:v>Sunfusion Semi-2</x:v>
      </x:c>
      <x:c r="F453" t="str">
        <x:v>BYOND_PUMP</x:v>
      </x:c>
      <x:c r="G453" t="str">
        <x:v>Warehouse</x:v>
      </x:c>
      <x:c r="H453" t="str">
        <x:v>รอสอบเทียบ</x:v>
      </x:c>
      <x:c r="I453" t="str">
        <x:v>รอสอบเทียบ</x:v>
      </x:c>
      <x:c r="J453" t="str">
        <x:v>ไม่มีสัญญา</x:v>
      </x:c>
      <x:c r="K453" t="str">
        <x:v>รอสอบเทียบก่อนพร้อมส่ง</x:v>
      </x:c>
      <x:c r="L453" t="str">
        <x:v>ไม่ได้เช่ายืม = รอสอบเทียบ</x:v>
      </x:c>
      <x:c r="M453" t="str">
        <x:f>IF(OR(H453="ใช้งานไม่ได้",H453="BROKEN",H453="Broken"),"ใช้งานไม่ได้",IF(OR(H453="ไม่พบในรายการ",H453="MISSING",H453="Missing"),"ไม่พบในรายการ",IF(OR(J453="เช่ายืม",J453="IN_USE",J453="IN-USE",H453="เช่ายืม"),"เช่ายืม",IF(H453="พร้อมส่ง","พร้อมส่ง","รอสอบเทียบ"))))</x:f>
        <x:v>รอสอบเทียบ</x:v>
      </x:c>
    </x:row>
    <x:row r="454">
      <x:c r="A454" t="str">
        <x:v>CESR00113</x:v>
      </x:c>
      <x:c r="B454" t="str">
        <x:v>21123050127</x:v>
      </x:c>
      <x:c r="C454" t="str">
        <x:v>BYOND</x:v>
      </x:c>
      <x:c r="D454" t="str">
        <x:v>Sunfusion Semi-2</x:v>
      </x:c>
      <x:c r="E454" t="str">
        <x:v>Sunfusion Semi-2</x:v>
      </x:c>
      <x:c r="F454" t="str">
        <x:v>BYOND_PUMP</x:v>
      </x:c>
      <x:c r="G454" t="str">
        <x:v>Warehouse</x:v>
      </x:c>
      <x:c r="H454" t="str">
        <x:v>รอสอบเทียบ</x:v>
      </x:c>
      <x:c r="I454" t="str">
        <x:v>รอสอบเทียบ</x:v>
      </x:c>
      <x:c r="J454" t="str">
        <x:v>ไม่มีสัญญา</x:v>
      </x:c>
      <x:c r="K454" t="str">
        <x:v>รอสอบเทียบก่อนพร้อมส่ง</x:v>
      </x:c>
      <x:c r="L454" t="str">
        <x:v>ไม่ได้เช่ายืม = รอสอบเทียบ</x:v>
      </x:c>
      <x:c r="M454" t="str">
        <x:f>IF(OR(H454="ใช้งานไม่ได้",H454="BROKEN",H454="Broken"),"ใช้งานไม่ได้",IF(OR(H454="ไม่พบในรายการ",H454="MISSING",H454="Missing"),"ไม่พบในรายการ",IF(OR(J454="เช่ายืม",J454="IN_USE",J454="IN-USE",H454="เช่ายืม"),"เช่ายืม",IF(H454="พร้อมส่ง","พร้อมส่ง","รอสอบเทียบ"))))</x:f>
        <x:v>รอสอบเทียบ</x:v>
      </x:c>
    </x:row>
    <x:row r="455">
      <x:c r="A455" t="str">
        <x:v>CESR00114</x:v>
      </x:c>
      <x:c r="B455" t="str">
        <x:v>21123050128</x:v>
      </x:c>
      <x:c r="C455" t="str">
        <x:v>BYOND</x:v>
      </x:c>
      <x:c r="D455" t="str">
        <x:v>Sunfusion Semi-2</x:v>
      </x:c>
      <x:c r="E455" t="str">
        <x:v>Sunfusion Semi-2</x:v>
      </x:c>
      <x:c r="F455" t="str">
        <x:v>BYOND_PUMP</x:v>
      </x:c>
      <x:c r="G455" t="str">
        <x:v>โรงพยาบาลบางมูลนาก จังหวัดพิจิตร</x:v>
      </x:c>
      <x:c r="H455" t="str">
        <x:v>เช่ายืม</x:v>
      </x:c>
      <x:c r="I455" t="str">
        <x:v>พร้อมส่ง</x:v>
      </x:c>
      <x:c r="J455" t="str">
        <x:v>เช่ายืม</x:v>
      </x:c>
      <x:c r="K455" t="str">
        <x:v>อยู่ระหว่างเช่ายืม / เกินกำหนดคืน 231 วัน</x:v>
      </x:c>
      <x:c r="L455"/>
      <x:c r="M455" t="str">
        <x:f>IF(OR(H455="ใช้งานไม่ได้",H455="BROKEN",H455="Broken"),"ใช้งานไม่ได้",IF(OR(H455="ไม่พบในรายการ",H455="MISSING",H455="Missing"),"ไม่พบในรายการ",IF(OR(J455="เช่ายืม",J455="IN_USE",J455="IN-USE",H455="เช่ายืม"),"เช่ายืม",IF(H455="พร้อมส่ง","พร้อมส่ง","รอสอบเทียบ"))))</x:f>
        <x:v>เช่ายืม</x:v>
      </x:c>
    </x:row>
    <x:row r="456">
      <x:c r="A456" t="str">
        <x:v>CESR00115</x:v>
      </x:c>
      <x:c r="B456" t="str">
        <x:v>21123050129</x:v>
      </x:c>
      <x:c r="C456" t="str">
        <x:v>BYOND</x:v>
      </x:c>
      <x:c r="D456" t="str">
        <x:v>Sunfusion Semi-2</x:v>
      </x:c>
      <x:c r="E456" t="str">
        <x:v>Sunfusion Semi-2</x:v>
      </x:c>
      <x:c r="F456" t="str">
        <x:v>BYOND_PUMP</x:v>
      </x:c>
      <x:c r="G456" t="str">
        <x:v>GJ</x:v>
      </x:c>
      <x:c r="H456" t="str">
        <x:v>เช่ายืม</x:v>
      </x:c>
      <x:c r="I456" t="str">
        <x:v>พร้อมส่ง</x:v>
      </x:c>
      <x:c r="J456" t="str">
        <x:v>เช่ายืม</x:v>
      </x:c>
      <x:c r="K456" t="str">
        <x:v>อยู่ระหว่างเช่ายืม</x:v>
      </x:c>
      <x:c r="L456"/>
      <x:c r="M456" t="str">
        <x:f>IF(OR(H456="ใช้งานไม่ได้",H456="BROKEN",H456="Broken"),"ใช้งานไม่ได้",IF(OR(H456="ไม่พบในรายการ",H456="MISSING",H456="Missing"),"ไม่พบในรายการ",IF(OR(J456="เช่ายืม",J456="IN_USE",J456="IN-USE",H456="เช่ายืม"),"เช่ายืม",IF(H456="พร้อมส่ง","พร้อมส่ง","รอสอบเทียบ"))))</x:f>
        <x:v>เช่ายืม</x:v>
      </x:c>
    </x:row>
    <x:row r="457">
      <x:c r="A457" t="str">
        <x:v>CESR00116</x:v>
      </x:c>
      <x:c r="B457" t="str">
        <x:v>21123050131</x:v>
      </x:c>
      <x:c r="C457" t="str">
        <x:v>BYOND</x:v>
      </x:c>
      <x:c r="D457" t="str">
        <x:v>Sunfusion Semi-2</x:v>
      </x:c>
      <x:c r="E457" t="str">
        <x:v>Sunfusion Semi-2</x:v>
      </x:c>
      <x:c r="F457" t="str">
        <x:v>BYOND_PUMP</x:v>
      </x:c>
      <x:c r="G457" t="str">
        <x:v>Warehouse</x:v>
      </x:c>
      <x:c r="H457" t="str">
        <x:v>รอสอบเทียบ</x:v>
      </x:c>
      <x:c r="I457" t="str">
        <x:v>รอสอบเทียบ</x:v>
      </x:c>
      <x:c r="J457" t="str">
        <x:v>ไม่มีสัญญา</x:v>
      </x:c>
      <x:c r="K457" t="str">
        <x:v>รอสอบเทียบก่อนพร้อมส่ง</x:v>
      </x:c>
      <x:c r="L457" t="str">
        <x:v>ไม่ได้เช่ายืม = รอสอบเทียบ</x:v>
      </x:c>
      <x:c r="M457" t="str">
        <x:f>IF(OR(H457="ใช้งานไม่ได้",H457="BROKEN",H457="Broken"),"ใช้งานไม่ได้",IF(OR(H457="ไม่พบในรายการ",H457="MISSING",H457="Missing"),"ไม่พบในรายการ",IF(OR(J457="เช่ายืม",J457="IN_USE",J457="IN-USE",H457="เช่ายืม"),"เช่ายืม",IF(H457="พร้อมส่ง","พร้อมส่ง","รอสอบเทียบ"))))</x:f>
        <x:v>รอสอบเทียบ</x:v>
      </x:c>
    </x:row>
    <x:row r="458">
      <x:c r="A458" t="str">
        <x:v>CESR00117</x:v>
      </x:c>
      <x:c r="B458" t="str">
        <x:v>21123050132</x:v>
      </x:c>
      <x:c r="C458" t="str">
        <x:v>BYOND</x:v>
      </x:c>
      <x:c r="D458" t="str">
        <x:v>Sunfusion Semi-2</x:v>
      </x:c>
      <x:c r="E458" t="str">
        <x:v>Sunfusion Semi-2</x:v>
      </x:c>
      <x:c r="F458" t="str">
        <x:v>BYOND_PUMP</x:v>
      </x:c>
      <x:c r="G458" t="str">
        <x:v>Warehouse</x:v>
      </x:c>
      <x:c r="H458" t="str">
        <x:v>รอสอบเทียบ</x:v>
      </x:c>
      <x:c r="I458" t="str">
        <x:v>รอสอบเทียบ</x:v>
      </x:c>
      <x:c r="J458" t="str">
        <x:v>ไม่มีสัญญา</x:v>
      </x:c>
      <x:c r="K458" t="str">
        <x:v>รอสอบเทียบก่อนพร้อมส่ง</x:v>
      </x:c>
      <x:c r="L458" t="str">
        <x:v>ไม่ได้เช่ายืม = รอสอบเทียบ</x:v>
      </x:c>
      <x:c r="M458" t="str">
        <x:f>IF(OR(H458="ใช้งานไม่ได้",H458="BROKEN",H458="Broken"),"ใช้งานไม่ได้",IF(OR(H458="ไม่พบในรายการ",H458="MISSING",H458="Missing"),"ไม่พบในรายการ",IF(OR(J458="เช่ายืม",J458="IN_USE",J458="IN-USE",H458="เช่ายืม"),"เช่ายืม",IF(H458="พร้อมส่ง","พร้อมส่ง","รอสอบเทียบ"))))</x:f>
        <x:v>รอสอบเทียบ</x:v>
      </x:c>
    </x:row>
    <x:row r="459">
      <x:c r="A459" t="str">
        <x:v>CESR00118</x:v>
      </x:c>
      <x:c r="B459" t="str">
        <x:v>21123050133</x:v>
      </x:c>
      <x:c r="C459" t="str">
        <x:v>BYOND</x:v>
      </x:c>
      <x:c r="D459" t="str">
        <x:v>Sunfusion Semi-2</x:v>
      </x:c>
      <x:c r="E459" t="str">
        <x:v>Sunfusion Semi-2</x:v>
      </x:c>
      <x:c r="F459" t="str">
        <x:v>BYOND_PUMP</x:v>
      </x:c>
      <x:c r="G459" t="str">
        <x:v>Warehouse</x:v>
      </x:c>
      <x:c r="H459" t="str">
        <x:v>รอสอบเทียบ</x:v>
      </x:c>
      <x:c r="I459" t="str">
        <x:v>รอสอบเทียบ</x:v>
      </x:c>
      <x:c r="J459" t="str">
        <x:v>ไม่มีสัญญา</x:v>
      </x:c>
      <x:c r="K459" t="str">
        <x:v>รอสอบเทียบก่อนพร้อมส่ง</x:v>
      </x:c>
      <x:c r="L459" t="str">
        <x:v>ไม่ได้เช่ายืม = รอสอบเทียบ</x:v>
      </x:c>
      <x:c r="M459" t="str">
        <x:f>IF(OR(H459="ใช้งานไม่ได้",H459="BROKEN",H459="Broken"),"ใช้งานไม่ได้",IF(OR(H459="ไม่พบในรายการ",H459="MISSING",H459="Missing"),"ไม่พบในรายการ",IF(OR(J459="เช่ายืม",J459="IN_USE",J459="IN-USE",H459="เช่ายืม"),"เช่ายืม",IF(H459="พร้อมส่ง","พร้อมส่ง","รอสอบเทียบ"))))</x:f>
        <x:v>รอสอบเทียบ</x:v>
      </x:c>
    </x:row>
    <x:row r="460">
      <x:c r="A460" t="str">
        <x:v>CESR00119</x:v>
      </x:c>
      <x:c r="B460" t="str">
        <x:v>21123050134</x:v>
      </x:c>
      <x:c r="C460" t="str">
        <x:v>BYOND</x:v>
      </x:c>
      <x:c r="D460" t="str">
        <x:v>Sunfusion Semi-2</x:v>
      </x:c>
      <x:c r="E460" t="str">
        <x:v>Sunfusion Semi-2</x:v>
      </x:c>
      <x:c r="F460" t="str">
        <x:v>BYOND_PUMP</x:v>
      </x:c>
      <x:c r="G460" t="str">
        <x:v>Warehouse</x:v>
      </x:c>
      <x:c r="H460" t="str">
        <x:v>รอสอบเทียบ</x:v>
      </x:c>
      <x:c r="I460" t="str">
        <x:v>รอสอบเทียบ</x:v>
      </x:c>
      <x:c r="J460" t="str">
        <x:v>ไม่มีสัญญา</x:v>
      </x:c>
      <x:c r="K460" t="str">
        <x:v>รอสอบเทียบก่อนพร้อมส่ง</x:v>
      </x:c>
      <x:c r="L460" t="str">
        <x:v>ไม่ได้เช่ายืม = รอสอบเทียบ</x:v>
      </x:c>
      <x:c r="M460" t="str">
        <x:f>IF(OR(H460="ใช้งานไม่ได้",H460="BROKEN",H460="Broken"),"ใช้งานไม่ได้",IF(OR(H460="ไม่พบในรายการ",H460="MISSING",H460="Missing"),"ไม่พบในรายการ",IF(OR(J460="เช่ายืม",J460="IN_USE",J460="IN-USE",H460="เช่ายืม"),"เช่ายืม",IF(H460="พร้อมส่ง","พร้อมส่ง","รอสอบเทียบ"))))</x:f>
        <x:v>รอสอบเทียบ</x:v>
      </x:c>
    </x:row>
    <x:row r="461">
      <x:c r="A461" t="str">
        <x:v>CESR00120</x:v>
      </x:c>
      <x:c r="B461" t="str">
        <x:v>21123050135</x:v>
      </x:c>
      <x:c r="C461" t="str">
        <x:v>BYOND</x:v>
      </x:c>
      <x:c r="D461" t="str">
        <x:v>Sunfusion Semi-2</x:v>
      </x:c>
      <x:c r="E461" t="str">
        <x:v>Sunfusion Semi-2</x:v>
      </x:c>
      <x:c r="F461" t="str">
        <x:v>BYOND_PUMP</x:v>
      </x:c>
      <x:c r="G461" t="str">
        <x:v>Warehouse</x:v>
      </x:c>
      <x:c r="H461" t="str">
        <x:v>รอสอบเทียบ</x:v>
      </x:c>
      <x:c r="I461" t="str">
        <x:v>รอสอบเทียบ</x:v>
      </x:c>
      <x:c r="J461" t="str">
        <x:v>ไม่มีสัญญา</x:v>
      </x:c>
      <x:c r="K461" t="str">
        <x:v>รอสอบเทียบก่อนพร้อมส่ง</x:v>
      </x:c>
      <x:c r="L461" t="str">
        <x:v>ไม่ได้เช่ายืม = รอสอบเทียบ</x:v>
      </x:c>
      <x:c r="M461" t="str">
        <x:f>IF(OR(H461="ใช้งานไม่ได้",H461="BROKEN",H461="Broken"),"ใช้งานไม่ได้",IF(OR(H461="ไม่พบในรายการ",H461="MISSING",H461="Missing"),"ไม่พบในรายการ",IF(OR(J461="เช่ายืม",J461="IN_USE",J461="IN-USE",H461="เช่ายืม"),"เช่ายืม",IF(H461="พร้อมส่ง","พร้อมส่ง","รอสอบเทียบ"))))</x:f>
        <x:v>รอสอบเทียบ</x:v>
      </x:c>
    </x:row>
    <x:row r="462">
      <x:c r="A462" t="str">
        <x:v>CESR00121</x:v>
      </x:c>
      <x:c r="B462" t="str">
        <x:v>21123050137</x:v>
      </x:c>
      <x:c r="C462" t="str">
        <x:v>BYOND</x:v>
      </x:c>
      <x:c r="D462" t="str">
        <x:v>Sunfusion Semi-2</x:v>
      </x:c>
      <x:c r="E462" t="str">
        <x:v>Sunfusion Semi-2</x:v>
      </x:c>
      <x:c r="F462" t="str">
        <x:v>BYOND_PUMP</x:v>
      </x:c>
      <x:c r="G462" t="str">
        <x:v>GJ</x:v>
      </x:c>
      <x:c r="H462" t="str">
        <x:v>เช่ายืม</x:v>
      </x:c>
      <x:c r="I462" t="str">
        <x:v>พร้อมส่ง</x:v>
      </x:c>
      <x:c r="J462" t="str">
        <x:v>เช่ายืม</x:v>
      </x:c>
      <x:c r="K462" t="str">
        <x:v>อยู่ระหว่างเช่ายืม</x:v>
      </x:c>
      <x:c r="L462"/>
      <x:c r="M462" t="str">
        <x:f>IF(OR(H462="ใช้งานไม่ได้",H462="BROKEN",H462="Broken"),"ใช้งานไม่ได้",IF(OR(H462="ไม่พบในรายการ",H462="MISSING",H462="Missing"),"ไม่พบในรายการ",IF(OR(J462="เช่ายืม",J462="IN_USE",J462="IN-USE",H462="เช่ายืม"),"เช่ายืม",IF(H462="พร้อมส่ง","พร้อมส่ง","รอสอบเทียบ"))))</x:f>
        <x:v>เช่ายืม</x:v>
      </x:c>
    </x:row>
    <x:row r="463">
      <x:c r="A463" t="str">
        <x:v>CESR00122</x:v>
      </x:c>
      <x:c r="B463" t="str">
        <x:v>21123050138</x:v>
      </x:c>
      <x:c r="C463" t="str">
        <x:v>BYOND</x:v>
      </x:c>
      <x:c r="D463" t="str">
        <x:v>Sunfusion Semi-2</x:v>
      </x:c>
      <x:c r="E463" t="str">
        <x:v>Sunfusion Semi-2</x:v>
      </x:c>
      <x:c r="F463" t="str">
        <x:v>BYOND_PUMP</x:v>
      </x:c>
      <x:c r="G463" t="str">
        <x:v>Warehouse</x:v>
      </x:c>
      <x:c r="H463" t="str">
        <x:v>รอสอบเทียบ</x:v>
      </x:c>
      <x:c r="I463" t="str">
        <x:v>รอสอบเทียบ</x:v>
      </x:c>
      <x:c r="J463" t="str">
        <x:v>ไม่มีสัญญา</x:v>
      </x:c>
      <x:c r="K463" t="str">
        <x:v>รอสอบเทียบก่อนพร้อมส่ง</x:v>
      </x:c>
      <x:c r="L463" t="str">
        <x:v>ไม่ได้เช่ายืม = รอสอบเทียบ</x:v>
      </x:c>
      <x:c r="M463" t="str">
        <x:f>IF(OR(H463="ใช้งานไม่ได้",H463="BROKEN",H463="Broken"),"ใช้งานไม่ได้",IF(OR(H463="ไม่พบในรายการ",H463="MISSING",H463="Missing"),"ไม่พบในรายการ",IF(OR(J463="เช่ายืม",J463="IN_USE",J463="IN-USE",H463="เช่ายืม"),"เช่ายืม",IF(H463="พร้อมส่ง","พร้อมส่ง","รอสอบเทียบ"))))</x:f>
        <x:v>รอสอบเทียบ</x:v>
      </x:c>
    </x:row>
    <x:row r="464">
      <x:c r="A464" t="str">
        <x:v>CESR00123</x:v>
      </x:c>
      <x:c r="B464" t="str">
        <x:v>21123050139</x:v>
      </x:c>
      <x:c r="C464" t="str">
        <x:v>BYOND</x:v>
      </x:c>
      <x:c r="D464" t="str">
        <x:v>Sunfusion Semi-2</x:v>
      </x:c>
      <x:c r="E464" t="str">
        <x:v>Sunfusion Semi-2</x:v>
      </x:c>
      <x:c r="F464" t="str">
        <x:v>BYOND_PUMP</x:v>
      </x:c>
      <x:c r="G464" t="str">
        <x:v>GJ</x:v>
      </x:c>
      <x:c r="H464" t="str">
        <x:v>เช่ายืม</x:v>
      </x:c>
      <x:c r="I464" t="str">
        <x:v>พร้อมส่ง</x:v>
      </x:c>
      <x:c r="J464" t="str">
        <x:v>เช่ายืม</x:v>
      </x:c>
      <x:c r="K464" t="str">
        <x:v>อยู่ระหว่างเช่ายืม</x:v>
      </x:c>
      <x:c r="L464"/>
      <x:c r="M464" t="str">
        <x:f>IF(OR(H464="ใช้งานไม่ได้",H464="BROKEN",H464="Broken"),"ใช้งานไม่ได้",IF(OR(H464="ไม่พบในรายการ",H464="MISSING",H464="Missing"),"ไม่พบในรายการ",IF(OR(J464="เช่ายืม",J464="IN_USE",J464="IN-USE",H464="เช่ายืม"),"เช่ายืม",IF(H464="พร้อมส่ง","พร้อมส่ง","รอสอบเทียบ"))))</x:f>
        <x:v>เช่ายืม</x:v>
      </x:c>
    </x:row>
    <x:row r="465">
      <x:c r="A465" t="str">
        <x:v>CESR00124</x:v>
      </x:c>
      <x:c r="B465" t="str">
        <x:v>21123050140</x:v>
      </x:c>
      <x:c r="C465" t="str">
        <x:v>BYOND</x:v>
      </x:c>
      <x:c r="D465" t="str">
        <x:v>Sunfusion Semi-2</x:v>
      </x:c>
      <x:c r="E465" t="str">
        <x:v>Sunfusion Semi-2</x:v>
      </x:c>
      <x:c r="F465" t="str">
        <x:v>BYOND_PUMP</x:v>
      </x:c>
      <x:c r="G465" t="str">
        <x:v>Warehouse</x:v>
      </x:c>
      <x:c r="H465" t="str">
        <x:v>รอสอบเทียบ</x:v>
      </x:c>
      <x:c r="I465" t="str">
        <x:v>รอสอบเทียบ</x:v>
      </x:c>
      <x:c r="J465" t="str">
        <x:v>ไม่มีสัญญา</x:v>
      </x:c>
      <x:c r="K465" t="str">
        <x:v>รอสอบเทียบก่อนพร้อมส่ง</x:v>
      </x:c>
      <x:c r="L465" t="str">
        <x:v>ไม่ได้เช่ายืม = รอสอบเทียบ</x:v>
      </x:c>
      <x:c r="M465" t="str">
        <x:f>IF(OR(H465="ใช้งานไม่ได้",H465="BROKEN",H465="Broken"),"ใช้งานไม่ได้",IF(OR(H465="ไม่พบในรายการ",H465="MISSING",H465="Missing"),"ไม่พบในรายการ",IF(OR(J465="เช่ายืม",J465="IN_USE",J465="IN-USE",H465="เช่ายืม"),"เช่ายืม",IF(H465="พร้อมส่ง","พร้อมส่ง","รอสอบเทียบ"))))</x:f>
        <x:v>รอสอบเทียบ</x:v>
      </x:c>
    </x:row>
    <x:row r="466">
      <x:c r="A466" t="str">
        <x:v>CESR00125</x:v>
      </x:c>
      <x:c r="B466" t="str">
        <x:v>21123050141</x:v>
      </x:c>
      <x:c r="C466" t="str">
        <x:v>BYOND</x:v>
      </x:c>
      <x:c r="D466" t="str">
        <x:v>Sunfusion Semi-2</x:v>
      </x:c>
      <x:c r="E466" t="str">
        <x:v>Sunfusion Semi-2</x:v>
      </x:c>
      <x:c r="F466" t="str">
        <x:v>BYOND_PUMP</x:v>
      </x:c>
      <x:c r="G466" t="str">
        <x:v>GJ</x:v>
      </x:c>
      <x:c r="H466" t="str">
        <x:v>เช่ายืม</x:v>
      </x:c>
      <x:c r="I466" t="str">
        <x:v>พร้อมส่ง</x:v>
      </x:c>
      <x:c r="J466" t="str">
        <x:v>เช่ายืม</x:v>
      </x:c>
      <x:c r="K466" t="str">
        <x:v>อยู่ระหว่างเช่ายืม</x:v>
      </x:c>
      <x:c r="L466"/>
      <x:c r="M466" t="str">
        <x:f>IF(OR(H466="ใช้งานไม่ได้",H466="BROKEN",H466="Broken"),"ใช้งานไม่ได้",IF(OR(H466="ไม่พบในรายการ",H466="MISSING",H466="Missing"),"ไม่พบในรายการ",IF(OR(J466="เช่ายืม",J466="IN_USE",J466="IN-USE",H466="เช่ายืม"),"เช่ายืม",IF(H466="พร้อมส่ง","พร้อมส่ง","รอสอบเทียบ"))))</x:f>
        <x:v>เช่ายืม</x:v>
      </x:c>
    </x:row>
    <x:row r="467">
      <x:c r="A467" t="str">
        <x:v>CESR00126</x:v>
      </x:c>
      <x:c r="B467" t="str">
        <x:v>21123050142</x:v>
      </x:c>
      <x:c r="C467" t="str">
        <x:v>BYOND</x:v>
      </x:c>
      <x:c r="D467" t="str">
        <x:v>Sunfusion Semi-2</x:v>
      </x:c>
      <x:c r="E467" t="str">
        <x:v>Sunfusion Semi-2</x:v>
      </x:c>
      <x:c r="F467" t="str">
        <x:v>BYOND_PUMP</x:v>
      </x:c>
      <x:c r="G467" t="str">
        <x:v>GJ</x:v>
      </x:c>
      <x:c r="H467" t="str">
        <x:v>เช่ายืม</x:v>
      </x:c>
      <x:c r="I467" t="str">
        <x:v>พร้อมส่ง</x:v>
      </x:c>
      <x:c r="J467" t="str">
        <x:v>เช่ายืม</x:v>
      </x:c>
      <x:c r="K467" t="str">
        <x:v>อยู่ระหว่างเช่ายืม</x:v>
      </x:c>
      <x:c r="L467"/>
      <x:c r="M467" t="str">
        <x:f>IF(OR(H467="ใช้งานไม่ได้",H467="BROKEN",H467="Broken"),"ใช้งานไม่ได้",IF(OR(H467="ไม่พบในรายการ",H467="MISSING",H467="Missing"),"ไม่พบในรายการ",IF(OR(J467="เช่ายืม",J467="IN_USE",J467="IN-USE",H467="เช่ายืม"),"เช่ายืม",IF(H467="พร้อมส่ง","พร้อมส่ง","รอสอบเทียบ"))))</x:f>
        <x:v>เช่ายืม</x:v>
      </x:c>
    </x:row>
    <x:row r="468">
      <x:c r="A468" t="str">
        <x:v>CESR00127</x:v>
      </x:c>
      <x:c r="B468" t="str">
        <x:v>21123050144</x:v>
      </x:c>
      <x:c r="C468" t="str">
        <x:v>BYOND</x:v>
      </x:c>
      <x:c r="D468" t="str">
        <x:v>Sunfusion Semi-2</x:v>
      </x:c>
      <x:c r="E468" t="str">
        <x:v>Sunfusion Semi-2</x:v>
      </x:c>
      <x:c r="F468" t="str">
        <x:v>BYOND_PUMP</x:v>
      </x:c>
      <x:c r="G468" t="str">
        <x:v>Warehouse</x:v>
      </x:c>
      <x:c r="H468" t="str">
        <x:v>รอสอบเทียบ</x:v>
      </x:c>
      <x:c r="I468" t="str">
        <x:v>รอสอบเทียบ</x:v>
      </x:c>
      <x:c r="J468" t="str">
        <x:v>ไม่มีสัญญา</x:v>
      </x:c>
      <x:c r="K468" t="str">
        <x:v>รอสอบเทียบก่อนพร้อมส่ง</x:v>
      </x:c>
      <x:c r="L468" t="str">
        <x:v>ไม่ได้เช่ายืม = รอสอบเทียบ</x:v>
      </x:c>
      <x:c r="M468" t="str">
        <x:f>IF(OR(H468="ใช้งานไม่ได้",H468="BROKEN",H468="Broken"),"ใช้งานไม่ได้",IF(OR(H468="ไม่พบในรายการ",H468="MISSING",H468="Missing"),"ไม่พบในรายการ",IF(OR(J468="เช่ายืม",J468="IN_USE",J468="IN-USE",H468="เช่ายืม"),"เช่ายืม",IF(H468="พร้อมส่ง","พร้อมส่ง","รอสอบเทียบ"))))</x:f>
        <x:v>รอสอบเทียบ</x:v>
      </x:c>
    </x:row>
    <x:row r="469">
      <x:c r="A469" t="str">
        <x:v>CESR00128</x:v>
      </x:c>
      <x:c r="B469" t="str">
        <x:v>21123050145</x:v>
      </x:c>
      <x:c r="C469" t="str">
        <x:v>BYOND</x:v>
      </x:c>
      <x:c r="D469" t="str">
        <x:v>Sunfusion Semi-2</x:v>
      </x:c>
      <x:c r="E469" t="str">
        <x:v>Sunfusion Semi-2</x:v>
      </x:c>
      <x:c r="F469" t="str">
        <x:v>BYOND_PUMP</x:v>
      </x:c>
      <x:c r="G469" t="str">
        <x:v>GJ</x:v>
      </x:c>
      <x:c r="H469" t="str">
        <x:v>เช่ายืม</x:v>
      </x:c>
      <x:c r="I469" t="str">
        <x:v>พร้อมส่ง</x:v>
      </x:c>
      <x:c r="J469" t="str">
        <x:v>เช่ายืม</x:v>
      </x:c>
      <x:c r="K469" t="str">
        <x:v>อยู่ระหว่างเช่ายืม</x:v>
      </x:c>
      <x:c r="L469"/>
      <x:c r="M469" t="str">
        <x:f>IF(OR(H469="ใช้งานไม่ได้",H469="BROKEN",H469="Broken"),"ใช้งานไม่ได้",IF(OR(H469="ไม่พบในรายการ",H469="MISSING",H469="Missing"),"ไม่พบในรายการ",IF(OR(J469="เช่ายืม",J469="IN_USE",J469="IN-USE",H469="เช่ายืม"),"เช่ายืม",IF(H469="พร้อมส่ง","พร้อมส่ง","รอสอบเทียบ"))))</x:f>
        <x:v>เช่ายืม</x:v>
      </x:c>
    </x:row>
    <x:row r="470">
      <x:c r="A470" t="str">
        <x:v>CESR00129</x:v>
      </x:c>
      <x:c r="B470" t="str">
        <x:v>21123050146</x:v>
      </x:c>
      <x:c r="C470" t="str">
        <x:v>BYOND</x:v>
      </x:c>
      <x:c r="D470" t="str">
        <x:v>Sunfusion Semi-2</x:v>
      </x:c>
      <x:c r="E470" t="str">
        <x:v>Sunfusion Semi-2</x:v>
      </x:c>
      <x:c r="F470" t="str">
        <x:v>BYOND_PUMP</x:v>
      </x:c>
      <x:c r="G470" t="str">
        <x:v>GJ</x:v>
      </x:c>
      <x:c r="H470" t="str">
        <x:v>เช่ายืม</x:v>
      </x:c>
      <x:c r="I470" t="str">
        <x:v>พร้อมส่ง</x:v>
      </x:c>
      <x:c r="J470" t="str">
        <x:v>เช่ายืม</x:v>
      </x:c>
      <x:c r="K470" t="str">
        <x:v>อยู่ระหว่างเช่ายืม</x:v>
      </x:c>
      <x:c r="L470"/>
      <x:c r="M470" t="str">
        <x:f>IF(OR(H470="ใช้งานไม่ได้",H470="BROKEN",H470="Broken"),"ใช้งานไม่ได้",IF(OR(H470="ไม่พบในรายการ",H470="MISSING",H470="Missing"),"ไม่พบในรายการ",IF(OR(J470="เช่ายืม",J470="IN_USE",J470="IN-USE",H470="เช่ายืม"),"เช่ายืม",IF(H470="พร้อมส่ง","พร้อมส่ง","รอสอบเทียบ"))))</x:f>
        <x:v>เช่ายืม</x:v>
      </x:c>
    </x:row>
    <x:row r="471">
      <x:c r="A471" t="str">
        <x:v>CESR00130</x:v>
      </x:c>
      <x:c r="B471" t="str">
        <x:v>21123050147</x:v>
      </x:c>
      <x:c r="C471" t="str">
        <x:v>BYOND</x:v>
      </x:c>
      <x:c r="D471" t="str">
        <x:v>Sunfusion Semi-2</x:v>
      </x:c>
      <x:c r="E471" t="str">
        <x:v>Sunfusion Semi-2</x:v>
      </x:c>
      <x:c r="F471" t="str">
        <x:v>BYOND_PUMP</x:v>
      </x:c>
      <x:c r="G471" t="str">
        <x:v>Warehouse</x:v>
      </x:c>
      <x:c r="H471" t="str">
        <x:v>รอสอบเทียบ</x:v>
      </x:c>
      <x:c r="I471" t="str">
        <x:v>รอสอบเทียบ</x:v>
      </x:c>
      <x:c r="J471" t="str">
        <x:v>ไม่มีสัญญา</x:v>
      </x:c>
      <x:c r="K471" t="str">
        <x:v>รอสอบเทียบก่อนพร้อมส่ง</x:v>
      </x:c>
      <x:c r="L471" t="str">
        <x:v>ไม่ได้เช่ายืม = รอสอบเทียบ</x:v>
      </x:c>
      <x:c r="M471" t="str">
        <x:f>IF(OR(H471="ใช้งานไม่ได้",H471="BROKEN",H471="Broken"),"ใช้งานไม่ได้",IF(OR(H471="ไม่พบในรายการ",H471="MISSING",H471="Missing"),"ไม่พบในรายการ",IF(OR(J471="เช่ายืม",J471="IN_USE",J471="IN-USE",H471="เช่ายืม"),"เช่ายืม",IF(H471="พร้อมส่ง","พร้อมส่ง","รอสอบเทียบ"))))</x:f>
        <x:v>รอสอบเทียบ</x:v>
      </x:c>
    </x:row>
    <x:row r="472">
      <x:c r="A472" t="str">
        <x:v>CESR00131</x:v>
      </x:c>
      <x:c r="B472" t="str">
        <x:v>21123050148</x:v>
      </x:c>
      <x:c r="C472" t="str">
        <x:v>BYOND</x:v>
      </x:c>
      <x:c r="D472" t="str">
        <x:v>Sunfusion Semi-2</x:v>
      </x:c>
      <x:c r="E472" t="str">
        <x:v>Sunfusion Semi-2</x:v>
      </x:c>
      <x:c r="F472" t="str">
        <x:v>BYOND_PUMP</x:v>
      </x:c>
      <x:c r="G472" t="str">
        <x:v>ศูนย์การแพทย์กาญจนาภิเษก</x:v>
      </x:c>
      <x:c r="H472" t="str">
        <x:v>เช่ายืม</x:v>
      </x:c>
      <x:c r="I472" t="str">
        <x:v>พร้อมส่ง</x:v>
      </x:c>
      <x:c r="J472" t="str">
        <x:v>เช่ายืม</x:v>
      </x:c>
      <x:c r="K472" t="str">
        <x:v>อยู่ระหว่างเช่ายืม / เกินกำหนดคืน 176 วัน</x:v>
      </x:c>
      <x:c r="L472"/>
      <x:c r="M472" t="str">
        <x:f>IF(OR(H472="ใช้งานไม่ได้",H472="BROKEN",H472="Broken"),"ใช้งานไม่ได้",IF(OR(H472="ไม่พบในรายการ",H472="MISSING",H472="Missing"),"ไม่พบในรายการ",IF(OR(J472="เช่ายืม",J472="IN_USE",J472="IN-USE",H472="เช่ายืม"),"เช่ายืม",IF(H472="พร้อมส่ง","พร้อมส่ง","รอสอบเทียบ"))))</x:f>
        <x:v>เช่ายืม</x:v>
      </x:c>
    </x:row>
    <x:row r="473">
      <x:c r="A473" t="str">
        <x:v>CESR00132</x:v>
      </x:c>
      <x:c r="B473" t="str">
        <x:v>21123050149</x:v>
      </x:c>
      <x:c r="C473" t="str">
        <x:v>BYOND</x:v>
      </x:c>
      <x:c r="D473" t="str">
        <x:v>Sunfusion Semi-2</x:v>
      </x:c>
      <x:c r="E473" t="str">
        <x:v>Sunfusion Semi-2</x:v>
      </x:c>
      <x:c r="F473" t="str">
        <x:v>BYOND_PUMP</x:v>
      </x:c>
      <x:c r="G473" t="str">
        <x:v>Warehouse</x:v>
      </x:c>
      <x:c r="H473" t="str">
        <x:v>รอสอบเทียบ</x:v>
      </x:c>
      <x:c r="I473" t="str">
        <x:v>รอสอบเทียบ</x:v>
      </x:c>
      <x:c r="J473" t="str">
        <x:v>ไม่มีสัญญา</x:v>
      </x:c>
      <x:c r="K473" t="str">
        <x:v>รอสอบเทียบก่อนพร้อมส่ง</x:v>
      </x:c>
      <x:c r="L473" t="str">
        <x:v>ไม่ได้เช่ายืม = รอสอบเทียบ</x:v>
      </x:c>
      <x:c r="M473" t="str">
        <x:f>IF(OR(H473="ใช้งานไม่ได้",H473="BROKEN",H473="Broken"),"ใช้งานไม่ได้",IF(OR(H473="ไม่พบในรายการ",H473="MISSING",H473="Missing"),"ไม่พบในรายการ",IF(OR(J473="เช่ายืม",J473="IN_USE",J473="IN-USE",H473="เช่ายืม"),"เช่ายืม",IF(H473="พร้อมส่ง","พร้อมส่ง","รอสอบเทียบ"))))</x:f>
        <x:v>รอสอบเทียบ</x:v>
      </x:c>
    </x:row>
    <x:row r="474">
      <x:c r="A474" t="str">
        <x:v>CESR00133</x:v>
      </x:c>
      <x:c r="B474" t="str">
        <x:v>21123050150</x:v>
      </x:c>
      <x:c r="C474" t="str">
        <x:v>BYOND</x:v>
      </x:c>
      <x:c r="D474" t="str">
        <x:v>Sunfusion Semi-2</x:v>
      </x:c>
      <x:c r="E474" t="str">
        <x:v>Sunfusion Semi-2</x:v>
      </x:c>
      <x:c r="F474" t="str">
        <x:v>BYOND_PUMP</x:v>
      </x:c>
      <x:c r="G474" t="str">
        <x:v>Warehouse</x:v>
      </x:c>
      <x:c r="H474" t="str">
        <x:v>รอสอบเทียบ</x:v>
      </x:c>
      <x:c r="I474" t="str">
        <x:v>รอสอบเทียบ</x:v>
      </x:c>
      <x:c r="J474" t="str">
        <x:v>ไม่มีสัญญา</x:v>
      </x:c>
      <x:c r="K474" t="str">
        <x:v>รอสอบเทียบก่อนพร้อมส่ง</x:v>
      </x:c>
      <x:c r="L474" t="str">
        <x:v>ไม่ได้เช่ายืม = รอสอบเทียบ</x:v>
      </x:c>
      <x:c r="M474" t="str">
        <x:f>IF(OR(H474="ใช้งานไม่ได้",H474="BROKEN",H474="Broken"),"ใช้งานไม่ได้",IF(OR(H474="ไม่พบในรายการ",H474="MISSING",H474="Missing"),"ไม่พบในรายการ",IF(OR(J474="เช่ายืม",J474="IN_USE",J474="IN-USE",H474="เช่ายืม"),"เช่ายืม",IF(H474="พร้อมส่ง","พร้อมส่ง","รอสอบเทียบ"))))</x:f>
        <x:v>รอสอบเทียบ</x:v>
      </x:c>
    </x:row>
    <x:row r="475">
      <x:c r="A475" t="str">
        <x:v>CESR00134</x:v>
      </x:c>
      <x:c r="B475" t="str">
        <x:v>21123060002</x:v>
      </x:c>
      <x:c r="C475" t="str">
        <x:v>BYOND</x:v>
      </x:c>
      <x:c r="D475" t="str">
        <x:v>Sunfusion Semi-2</x:v>
      </x:c>
      <x:c r="E475" t="str">
        <x:v>Sunfusion Semi-2</x:v>
      </x:c>
      <x:c r="F475" t="str">
        <x:v>BYOND_PUMP</x:v>
      </x:c>
      <x:c r="G475" t="str">
        <x:v>GJ</x:v>
      </x:c>
      <x:c r="H475" t="str">
        <x:v>เช่ายืม</x:v>
      </x:c>
      <x:c r="I475" t="str">
        <x:v>พร้อมส่ง</x:v>
      </x:c>
      <x:c r="J475" t="str">
        <x:v>เช่ายืม</x:v>
      </x:c>
      <x:c r="K475" t="str">
        <x:v>อยู่ระหว่างเช่ายืม</x:v>
      </x:c>
      <x:c r="L475"/>
      <x:c r="M475" t="str">
        <x:f>IF(OR(H475="ใช้งานไม่ได้",H475="BROKEN",H475="Broken"),"ใช้งานไม่ได้",IF(OR(H475="ไม่พบในรายการ",H475="MISSING",H475="Missing"),"ไม่พบในรายการ",IF(OR(J475="เช่ายืม",J475="IN_USE",J475="IN-USE",H475="เช่ายืม"),"เช่ายืม",IF(H475="พร้อมส่ง","พร้อมส่ง","รอสอบเทียบ"))))</x:f>
        <x:v>เช่ายืม</x:v>
      </x:c>
    </x:row>
    <x:row r="476">
      <x:c r="A476" t="str">
        <x:v>CESR00135</x:v>
      </x:c>
      <x:c r="B476" t="str">
        <x:v>21123060003</x:v>
      </x:c>
      <x:c r="C476" t="str">
        <x:v>BYOND</x:v>
      </x:c>
      <x:c r="D476" t="str">
        <x:v>Sunfusion Semi-2</x:v>
      </x:c>
      <x:c r="E476" t="str">
        <x:v>Sunfusion Semi-2</x:v>
      </x:c>
      <x:c r="F476" t="str">
        <x:v>BYOND_PUMP</x:v>
      </x:c>
      <x:c r="G476" t="str">
        <x:v>GJ</x:v>
      </x:c>
      <x:c r="H476" t="str">
        <x:v>เช่ายืม</x:v>
      </x:c>
      <x:c r="I476" t="str">
        <x:v>พร้อมส่ง</x:v>
      </x:c>
      <x:c r="J476" t="str">
        <x:v>เช่ายืม</x:v>
      </x:c>
      <x:c r="K476" t="str">
        <x:v>อยู่ระหว่างเช่ายืม</x:v>
      </x:c>
      <x:c r="L476"/>
      <x:c r="M476" t="str">
        <x:f>IF(OR(H476="ใช้งานไม่ได้",H476="BROKEN",H476="Broken"),"ใช้งานไม่ได้",IF(OR(H476="ไม่พบในรายการ",H476="MISSING",H476="Missing"),"ไม่พบในรายการ",IF(OR(J476="เช่ายืม",J476="IN_USE",J476="IN-USE",H476="เช่ายืม"),"เช่ายืม",IF(H476="พร้อมส่ง","พร้อมส่ง","รอสอบเทียบ"))))</x:f>
        <x:v>เช่ายืม</x:v>
      </x:c>
    </x:row>
    <x:row r="477">
      <x:c r="A477" t="str">
        <x:v>CESR00136</x:v>
      </x:c>
      <x:c r="B477" t="str">
        <x:v>21123060004</x:v>
      </x:c>
      <x:c r="C477" t="str">
        <x:v>BYOND</x:v>
      </x:c>
      <x:c r="D477" t="str">
        <x:v>Sunfusion Semi-2</x:v>
      </x:c>
      <x:c r="E477" t="str">
        <x:v>Sunfusion Semi-2</x:v>
      </x:c>
      <x:c r="F477" t="str">
        <x:v>BYOND_PUMP</x:v>
      </x:c>
      <x:c r="G477" t="str">
        <x:v>Warehouse</x:v>
      </x:c>
      <x:c r="H477" t="str">
        <x:v>รอสอบเทียบ</x:v>
      </x:c>
      <x:c r="I477" t="str">
        <x:v>รอสอบเทียบ</x:v>
      </x:c>
      <x:c r="J477" t="str">
        <x:v>ไม่มีสัญญา</x:v>
      </x:c>
      <x:c r="K477" t="str">
        <x:v>รอสอบเทียบก่อนพร้อมส่ง</x:v>
      </x:c>
      <x:c r="L477" t="str">
        <x:v>ไม่ได้เช่ายืม = รอสอบเทียบ</x:v>
      </x:c>
      <x:c r="M477" t="str">
        <x:f>IF(OR(H477="ใช้งานไม่ได้",H477="BROKEN",H477="Broken"),"ใช้งานไม่ได้",IF(OR(H477="ไม่พบในรายการ",H477="MISSING",H477="Missing"),"ไม่พบในรายการ",IF(OR(J477="เช่ายืม",J477="IN_USE",J477="IN-USE",H477="เช่ายืม"),"เช่ายืม",IF(H477="พร้อมส่ง","พร้อมส่ง","รอสอบเทียบ"))))</x:f>
        <x:v>รอสอบเทียบ</x:v>
      </x:c>
    </x:row>
    <x:row r="478">
      <x:c r="A478" t="str">
        <x:v>CESR00137</x:v>
      </x:c>
      <x:c r="B478" t="str">
        <x:v>21123060005</x:v>
      </x:c>
      <x:c r="C478" t="str">
        <x:v>BYOND</x:v>
      </x:c>
      <x:c r="D478" t="str">
        <x:v>Sunfusion Semi-2</x:v>
      </x:c>
      <x:c r="E478" t="str">
        <x:v>Sunfusion Semi-2</x:v>
      </x:c>
      <x:c r="F478" t="str">
        <x:v>BYOND_PUMP</x:v>
      </x:c>
      <x:c r="G478" t="str">
        <x:v>โรงพยาบาลบางมูลนาก จังหวัดพิจิตร</x:v>
      </x:c>
      <x:c r="H478" t="str">
        <x:v>เช่ายืม</x:v>
      </x:c>
      <x:c r="I478" t="str">
        <x:v>พร้อมส่ง</x:v>
      </x:c>
      <x:c r="J478" t="str">
        <x:v>เช่ายืม</x:v>
      </x:c>
      <x:c r="K478" t="str">
        <x:v>อยู่ระหว่างเช่ายืม / เกินกำหนดคืน 231 วัน</x:v>
      </x:c>
      <x:c r="L478"/>
      <x:c r="M478" t="str">
        <x:f>IF(OR(H478="ใช้งานไม่ได้",H478="BROKEN",H478="Broken"),"ใช้งานไม่ได้",IF(OR(H478="ไม่พบในรายการ",H478="MISSING",H478="Missing"),"ไม่พบในรายการ",IF(OR(J478="เช่ายืม",J478="IN_USE",J478="IN-USE",H478="เช่ายืม"),"เช่ายืม",IF(H478="พร้อมส่ง","พร้อมส่ง","รอสอบเทียบ"))))</x:f>
        <x:v>เช่ายืม</x:v>
      </x:c>
    </x:row>
    <x:row r="479">
      <x:c r="A479" t="str">
        <x:v>CESR00138</x:v>
      </x:c>
      <x:c r="B479" t="str">
        <x:v>21123060006</x:v>
      </x:c>
      <x:c r="C479" t="str">
        <x:v>BYOND</x:v>
      </x:c>
      <x:c r="D479" t="str">
        <x:v>Sunfusion Semi-2</x:v>
      </x:c>
      <x:c r="E479" t="str">
        <x:v>Sunfusion Semi-2</x:v>
      </x:c>
      <x:c r="F479" t="str">
        <x:v>BYOND_PUMP</x:v>
      </x:c>
      <x:c r="G479" t="str">
        <x:v>Warehouse</x:v>
      </x:c>
      <x:c r="H479" t="str">
        <x:v>รอสอบเทียบ</x:v>
      </x:c>
      <x:c r="I479" t="str">
        <x:v>รอสอบเทียบ</x:v>
      </x:c>
      <x:c r="J479" t="str">
        <x:v>ไม่มีสัญญา</x:v>
      </x:c>
      <x:c r="K479" t="str">
        <x:v>รอสอบเทียบก่อนพร้อมส่ง</x:v>
      </x:c>
      <x:c r="L479" t="str">
        <x:v>ไม่ได้เช่ายืม = รอสอบเทียบ</x:v>
      </x:c>
      <x:c r="M479" t="str">
        <x:f>IF(OR(H479="ใช้งานไม่ได้",H479="BROKEN",H479="Broken"),"ใช้งานไม่ได้",IF(OR(H479="ไม่พบในรายการ",H479="MISSING",H479="Missing"),"ไม่พบในรายการ",IF(OR(J479="เช่ายืม",J479="IN_USE",J479="IN-USE",H479="เช่ายืม"),"เช่ายืม",IF(H479="พร้อมส่ง","พร้อมส่ง","รอสอบเทียบ"))))</x:f>
        <x:v>รอสอบเทียบ</x:v>
      </x:c>
    </x:row>
    <x:row r="480">
      <x:c r="A480" t="str">
        <x:v>CESR00139</x:v>
      </x:c>
      <x:c r="B480" t="str">
        <x:v>21123060007</x:v>
      </x:c>
      <x:c r="C480" t="str">
        <x:v>BYOND</x:v>
      </x:c>
      <x:c r="D480" t="str">
        <x:v>Sunfusion Semi-2</x:v>
      </x:c>
      <x:c r="E480" t="str">
        <x:v>Sunfusion Semi-2</x:v>
      </x:c>
      <x:c r="F480" t="str">
        <x:v>BYOND_PUMP</x:v>
      </x:c>
      <x:c r="G480" t="str">
        <x:v>GJ</x:v>
      </x:c>
      <x:c r="H480" t="str">
        <x:v>เช่ายืม</x:v>
      </x:c>
      <x:c r="I480" t="str">
        <x:v>พร้อมส่ง</x:v>
      </x:c>
      <x:c r="J480" t="str">
        <x:v>เช่ายืม</x:v>
      </x:c>
      <x:c r="K480" t="str">
        <x:v>อยู่ระหว่างเช่ายืม</x:v>
      </x:c>
      <x:c r="L480"/>
      <x:c r="M480" t="str">
        <x:f>IF(OR(H480="ใช้งานไม่ได้",H480="BROKEN",H480="Broken"),"ใช้งานไม่ได้",IF(OR(H480="ไม่พบในรายการ",H480="MISSING",H480="Missing"),"ไม่พบในรายการ",IF(OR(J480="เช่ายืม",J480="IN_USE",J480="IN-USE",H480="เช่ายืม"),"เช่ายืม",IF(H480="พร้อมส่ง","พร้อมส่ง","รอสอบเทียบ"))))</x:f>
        <x:v>เช่ายืม</x:v>
      </x:c>
    </x:row>
    <x:row r="481">
      <x:c r="A481" t="str">
        <x:v>CESR00140</x:v>
      </x:c>
      <x:c r="B481" t="str">
        <x:v>21123060008</x:v>
      </x:c>
      <x:c r="C481" t="str">
        <x:v>BYOND</x:v>
      </x:c>
      <x:c r="D481" t="str">
        <x:v>Sunfusion Semi-2</x:v>
      </x:c>
      <x:c r="E481" t="str">
        <x:v>Sunfusion Semi-2</x:v>
      </x:c>
      <x:c r="F481" t="str">
        <x:v>BYOND_PUMP</x:v>
      </x:c>
      <x:c r="G481" t="str">
        <x:v>รพ.สูงเนิน</x:v>
      </x:c>
      <x:c r="H481" t="str">
        <x:v>เช่ายืม</x:v>
      </x:c>
      <x:c r="I481" t="str">
        <x:v>พร้อมส่ง</x:v>
      </x:c>
      <x:c r="J481" t="str">
        <x:v>เช่ายืม</x:v>
      </x:c>
      <x:c r="K481" t="str">
        <x:v>No action</x:v>
      </x:c>
      <x:c r="L481"/>
      <x:c r="M481" t="str">
        <x:f>IF(OR(H481="ใช้งานไม่ได้",H481="BROKEN",H481="Broken"),"ใช้งานไม่ได้",IF(OR(H481="ไม่พบในรายการ",H481="MISSING",H481="Missing"),"ไม่พบในรายการ",IF(OR(J481="เช่ายืม",J481="IN_USE",J481="IN-USE",H481="เช่ายืม"),"เช่ายืม",IF(H481="พร้อมส่ง","พร้อมส่ง","รอสอบเทียบ"))))</x:f>
        <x:v>เช่ายืม</x:v>
      </x:c>
    </x:row>
    <x:row r="482">
      <x:c r="A482" t="str">
        <x:v>CESR00141</x:v>
      </x:c>
      <x:c r="B482" t="str">
        <x:v>21122120525</x:v>
      </x:c>
      <x:c r="C482" t="str">
        <x:v>BYOND</x:v>
      </x:c>
      <x:c r="D482" t="str">
        <x:v>Sunfusion Semi-2</x:v>
      </x:c>
      <x:c r="E482" t="str">
        <x:v>Sunfusion Semi-2</x:v>
      </x:c>
      <x:c r="F482" t="str">
        <x:v>BYOND_PUMP</x:v>
      </x:c>
      <x:c r="G482" t="str">
        <x:v>Warehouse</x:v>
      </x:c>
      <x:c r="H482" t="str">
        <x:v>รอสอบเทียบ</x:v>
      </x:c>
      <x:c r="I482" t="str">
        <x:v>รอสอบเทียบ</x:v>
      </x:c>
      <x:c r="J482" t="str">
        <x:v>ไม่มีสัญญา</x:v>
      </x:c>
      <x:c r="K482" t="str">
        <x:v>รอสอบเทียบก่อนพร้อมส่ง</x:v>
      </x:c>
      <x:c r="L482" t="str">
        <x:v>ไม่ได้เช่ายืม = รอสอบเทียบ</x:v>
      </x:c>
      <x:c r="M482" t="str">
        <x:f>IF(OR(H482="ใช้งานไม่ได้",H482="BROKEN",H482="Broken"),"ใช้งานไม่ได้",IF(OR(H482="ไม่พบในรายการ",H482="MISSING",H482="Missing"),"ไม่พบในรายการ",IF(OR(J482="เช่ายืม",J482="IN_USE",J482="IN-USE",H482="เช่ายืม"),"เช่ายืม",IF(H482="พร้อมส่ง","พร้อมส่ง","รอสอบเทียบ"))))</x:f>
        <x:v>รอสอบเทียบ</x:v>
      </x:c>
    </x:row>
    <x:row r="483">
      <x:c r="A483" t="str">
        <x:v>CESR00142</x:v>
      </x:c>
      <x:c r="B483" t="str">
        <x:v>21123060010</x:v>
      </x:c>
      <x:c r="C483" t="str">
        <x:v>BYOND</x:v>
      </x:c>
      <x:c r="D483" t="str">
        <x:v>Sunfusion Semi-2</x:v>
      </x:c>
      <x:c r="E483" t="str">
        <x:v>Sunfusion Semi-2</x:v>
      </x:c>
      <x:c r="F483" t="str">
        <x:v>BYOND_PUMP</x:v>
      </x:c>
      <x:c r="G483" t="str">
        <x:v>Warehouse</x:v>
      </x:c>
      <x:c r="H483" t="str">
        <x:v>รอสอบเทียบ</x:v>
      </x:c>
      <x:c r="I483" t="str">
        <x:v>รอสอบเทียบ</x:v>
      </x:c>
      <x:c r="J483" t="str">
        <x:v>ไม่มีสัญญา</x:v>
      </x:c>
      <x:c r="K483" t="str">
        <x:v>รอสอบเทียบก่อนพร้อมส่ง</x:v>
      </x:c>
      <x:c r="L483" t="str">
        <x:v>ไม่ได้เช่ายืม = รอสอบเทียบ</x:v>
      </x:c>
      <x:c r="M483" t="str">
        <x:f>IF(OR(H483="ใช้งานไม่ได้",H483="BROKEN",H483="Broken"),"ใช้งานไม่ได้",IF(OR(H483="ไม่พบในรายการ",H483="MISSING",H483="Missing"),"ไม่พบในรายการ",IF(OR(J483="เช่ายืม",J483="IN_USE",J483="IN-USE",H483="เช่ายืม"),"เช่ายืม",IF(H483="พร้อมส่ง","พร้อมส่ง","รอสอบเทียบ"))))</x:f>
        <x:v>รอสอบเทียบ</x:v>
      </x:c>
    </x:row>
    <x:row r="484">
      <x:c r="A484" t="str">
        <x:v>CESR00143</x:v>
      </x:c>
      <x:c r="B484" t="str">
        <x:v>21123060011</x:v>
      </x:c>
      <x:c r="C484" t="str">
        <x:v>BYOND</x:v>
      </x:c>
      <x:c r="D484" t="str">
        <x:v>Sunfusion Semi-2</x:v>
      </x:c>
      <x:c r="E484" t="str">
        <x:v>Sunfusion Semi-2</x:v>
      </x:c>
      <x:c r="F484" t="str">
        <x:v>BYOND_PUMP</x:v>
      </x:c>
      <x:c r="G484" t="str">
        <x:v>Warehouse</x:v>
      </x:c>
      <x:c r="H484" t="str">
        <x:v>รอสอบเทียบ</x:v>
      </x:c>
      <x:c r="I484" t="str">
        <x:v>รอสอบเทียบ</x:v>
      </x:c>
      <x:c r="J484" t="str">
        <x:v>ไม่มีสัญญา</x:v>
      </x:c>
      <x:c r="K484" t="str">
        <x:v>รอสอบเทียบก่อนพร้อมส่ง</x:v>
      </x:c>
      <x:c r="L484" t="str">
        <x:v>ไม่ได้เช่ายืม = รอสอบเทียบ</x:v>
      </x:c>
      <x:c r="M484" t="str">
        <x:f>IF(OR(H484="ใช้งานไม่ได้",H484="BROKEN",H484="Broken"),"ใช้งานไม่ได้",IF(OR(H484="ไม่พบในรายการ",H484="MISSING",H484="Missing"),"ไม่พบในรายการ",IF(OR(J484="เช่ายืม",J484="IN_USE",J484="IN-USE",H484="เช่ายืม"),"เช่ายืม",IF(H484="พร้อมส่ง","พร้อมส่ง","รอสอบเทียบ"))))</x:f>
        <x:v>รอสอบเทียบ</x:v>
      </x:c>
    </x:row>
    <x:row r="485">
      <x:c r="A485" t="str">
        <x:v>CESR00144</x:v>
      </x:c>
      <x:c r="B485" t="str">
        <x:v>21123060012</x:v>
      </x:c>
      <x:c r="C485" t="str">
        <x:v>BYOND</x:v>
      </x:c>
      <x:c r="D485" t="str">
        <x:v>Sunfusion Semi-2</x:v>
      </x:c>
      <x:c r="E485" t="str">
        <x:v>Sunfusion Semi-2</x:v>
      </x:c>
      <x:c r="F485" t="str">
        <x:v>BYOND_PUMP</x:v>
      </x:c>
      <x:c r="G485" t="str">
        <x:v>Warehouse</x:v>
      </x:c>
      <x:c r="H485" t="str">
        <x:v>รอสอบเทียบ</x:v>
      </x:c>
      <x:c r="I485" t="str">
        <x:v>รอสอบเทียบ</x:v>
      </x:c>
      <x:c r="J485" t="str">
        <x:v>ไม่มีสัญญา</x:v>
      </x:c>
      <x:c r="K485" t="str">
        <x:v>รอสอบเทียบก่อนพร้อมส่ง</x:v>
      </x:c>
      <x:c r="L485" t="str">
        <x:v>ไม่ได้เช่ายืม = รอสอบเทียบ</x:v>
      </x:c>
      <x:c r="M485" t="str">
        <x:f>IF(OR(H485="ใช้งานไม่ได้",H485="BROKEN",H485="Broken"),"ใช้งานไม่ได้",IF(OR(H485="ไม่พบในรายการ",H485="MISSING",H485="Missing"),"ไม่พบในรายการ",IF(OR(J485="เช่ายืม",J485="IN_USE",J485="IN-USE",H485="เช่ายืม"),"เช่ายืม",IF(H485="พร้อมส่ง","พร้อมส่ง","รอสอบเทียบ"))))</x:f>
        <x:v>รอสอบเทียบ</x:v>
      </x:c>
    </x:row>
    <x:row r="486">
      <x:c r="A486" t="str">
        <x:v>CESR00145</x:v>
      </x:c>
      <x:c r="B486" t="str">
        <x:v>21123060014</x:v>
      </x:c>
      <x:c r="C486" t="str">
        <x:v>BYOND</x:v>
      </x:c>
      <x:c r="D486" t="str">
        <x:v>Sunfusion Semi-2</x:v>
      </x:c>
      <x:c r="E486" t="str">
        <x:v>Sunfusion Semi-2</x:v>
      </x:c>
      <x:c r="F486" t="str">
        <x:v>BYOND_PUMP</x:v>
      </x:c>
      <x:c r="G486" t="str">
        <x:v>Warehouse</x:v>
      </x:c>
      <x:c r="H486" t="str">
        <x:v>รอสอบเทียบ</x:v>
      </x:c>
      <x:c r="I486" t="str">
        <x:v>รอสอบเทียบ</x:v>
      </x:c>
      <x:c r="J486" t="str">
        <x:v>ไม่มีสัญญา</x:v>
      </x:c>
      <x:c r="K486" t="str">
        <x:v>รอสอบเทียบก่อนพร้อมส่ง</x:v>
      </x:c>
      <x:c r="L486" t="str">
        <x:v>ไม่ได้เช่ายืม = รอสอบเทียบ</x:v>
      </x:c>
      <x:c r="M486" t="str">
        <x:f>IF(OR(H486="ใช้งานไม่ได้",H486="BROKEN",H486="Broken"),"ใช้งานไม่ได้",IF(OR(H486="ไม่พบในรายการ",H486="MISSING",H486="Missing"),"ไม่พบในรายการ",IF(OR(J486="เช่ายืม",J486="IN_USE",J486="IN-USE",H486="เช่ายืม"),"เช่ายืม",IF(H486="พร้อมส่ง","พร้อมส่ง","รอสอบเทียบ"))))</x:f>
        <x:v>รอสอบเทียบ</x:v>
      </x:c>
    </x:row>
    <x:row r="487">
      <x:c r="A487" t="str">
        <x:v>CESR00146</x:v>
      </x:c>
      <x:c r="B487" t="str">
        <x:v>21123060015</x:v>
      </x:c>
      <x:c r="C487" t="str">
        <x:v>BYOND</x:v>
      </x:c>
      <x:c r="D487" t="str">
        <x:v>Sunfusion Semi-2</x:v>
      </x:c>
      <x:c r="E487" t="str">
        <x:v>Sunfusion Semi-2</x:v>
      </x:c>
      <x:c r="F487" t="str">
        <x:v>BYOND_PUMP</x:v>
      </x:c>
      <x:c r="G487" t="str">
        <x:v>Warehouse</x:v>
      </x:c>
      <x:c r="H487" t="str">
        <x:v>รอสอบเทียบ</x:v>
      </x:c>
      <x:c r="I487" t="str">
        <x:v>รอสอบเทียบ</x:v>
      </x:c>
      <x:c r="J487" t="str">
        <x:v>ไม่มีสัญญา</x:v>
      </x:c>
      <x:c r="K487" t="str">
        <x:v>รอสอบเทียบก่อนพร้อมส่ง</x:v>
      </x:c>
      <x:c r="L487" t="str">
        <x:v>ไม่ได้เช่ายืม = รอสอบเทียบ</x:v>
      </x:c>
      <x:c r="M487" t="str">
        <x:f>IF(OR(H487="ใช้งานไม่ได้",H487="BROKEN",H487="Broken"),"ใช้งานไม่ได้",IF(OR(H487="ไม่พบในรายการ",H487="MISSING",H487="Missing"),"ไม่พบในรายการ",IF(OR(J487="เช่ายืม",J487="IN_USE",J487="IN-USE",H487="เช่ายืม"),"เช่ายืม",IF(H487="พร้อมส่ง","พร้อมส่ง","รอสอบเทียบ"))))</x:f>
        <x:v>รอสอบเทียบ</x:v>
      </x:c>
    </x:row>
    <x:row r="488">
      <x:c r="A488" t="str">
        <x:v>CESR00147</x:v>
      </x:c>
      <x:c r="B488" t="str">
        <x:v>21123060016</x:v>
      </x:c>
      <x:c r="C488" t="str">
        <x:v>BYOND</x:v>
      </x:c>
      <x:c r="D488" t="str">
        <x:v>Sunfusion Semi-2</x:v>
      </x:c>
      <x:c r="E488" t="str">
        <x:v>Sunfusion Semi-2</x:v>
      </x:c>
      <x:c r="F488" t="str">
        <x:v>BYOND_PUMP</x:v>
      </x:c>
      <x:c r="G488" t="str">
        <x:v>Warehouse</x:v>
      </x:c>
      <x:c r="H488" t="str">
        <x:v>รอสอบเทียบ</x:v>
      </x:c>
      <x:c r="I488" t="str">
        <x:v>รอสอบเทียบ</x:v>
      </x:c>
      <x:c r="J488" t="str">
        <x:v>ไม่มีสัญญา</x:v>
      </x:c>
      <x:c r="K488" t="str">
        <x:v>รอสอบเทียบก่อนพร้อมส่ง</x:v>
      </x:c>
      <x:c r="L488" t="str">
        <x:v>ไม่ได้เช่ายืม = รอสอบเทียบ</x:v>
      </x:c>
      <x:c r="M488" t="str">
        <x:f>IF(OR(H488="ใช้งานไม่ได้",H488="BROKEN",H488="Broken"),"ใช้งานไม่ได้",IF(OR(H488="ไม่พบในรายการ",H488="MISSING",H488="Missing"),"ไม่พบในรายการ",IF(OR(J488="เช่ายืม",J488="IN_USE",J488="IN-USE",H488="เช่ายืม"),"เช่ายืม",IF(H488="พร้อมส่ง","พร้อมส่ง","รอสอบเทียบ"))))</x:f>
        <x:v>รอสอบเทียบ</x:v>
      </x:c>
    </x:row>
    <x:row r="489">
      <x:c r="A489" t="str">
        <x:v>CESR00148</x:v>
      </x:c>
      <x:c r="B489" t="str">
        <x:v>21123060017</x:v>
      </x:c>
      <x:c r="C489" t="str">
        <x:v>BYOND</x:v>
      </x:c>
      <x:c r="D489" t="str">
        <x:v>Sunfusion Semi-2</x:v>
      </x:c>
      <x:c r="E489" t="str">
        <x:v>Sunfusion Semi-2</x:v>
      </x:c>
      <x:c r="F489" t="str">
        <x:v>BYOND_PUMP</x:v>
      </x:c>
      <x:c r="G489" t="str">
        <x:v>Warehouse</x:v>
      </x:c>
      <x:c r="H489" t="str">
        <x:v>รอสอบเทียบ</x:v>
      </x:c>
      <x:c r="I489" t="str">
        <x:v>รอสอบเทียบ</x:v>
      </x:c>
      <x:c r="J489" t="str">
        <x:v>ไม่มีสัญญา</x:v>
      </x:c>
      <x:c r="K489" t="str">
        <x:v>รอสอบเทียบก่อนพร้อมส่ง</x:v>
      </x:c>
      <x:c r="L489" t="str">
        <x:v>ไม่ได้เช่ายืม = รอสอบเทียบ</x:v>
      </x:c>
      <x:c r="M489" t="str">
        <x:f>IF(OR(H489="ใช้งานไม่ได้",H489="BROKEN",H489="Broken"),"ใช้งานไม่ได้",IF(OR(H489="ไม่พบในรายการ",H489="MISSING",H489="Missing"),"ไม่พบในรายการ",IF(OR(J489="เช่ายืม",J489="IN_USE",J489="IN-USE",H489="เช่ายืม"),"เช่ายืม",IF(H489="พร้อมส่ง","พร้อมส่ง","รอสอบเทียบ"))))</x:f>
        <x:v>รอสอบเทียบ</x:v>
      </x:c>
    </x:row>
    <x:row r="490">
      <x:c r="A490" t="str">
        <x:v>CESR00149</x:v>
      </x:c>
      <x:c r="B490" t="str">
        <x:v>21123060018</x:v>
      </x:c>
      <x:c r="C490" t="str">
        <x:v>BYOND</x:v>
      </x:c>
      <x:c r="D490" t="str">
        <x:v>Sunfusion Semi-2</x:v>
      </x:c>
      <x:c r="E490" t="str">
        <x:v>Sunfusion Semi-2</x:v>
      </x:c>
      <x:c r="F490" t="str">
        <x:v>BYOND_PUMP</x:v>
      </x:c>
      <x:c r="G490" t="str">
        <x:v>Warehouse</x:v>
      </x:c>
      <x:c r="H490" t="str">
        <x:v>รอสอบเทียบ</x:v>
      </x:c>
      <x:c r="I490" t="str">
        <x:v>รอสอบเทียบ</x:v>
      </x:c>
      <x:c r="J490" t="str">
        <x:v>ไม่มีสัญญา</x:v>
      </x:c>
      <x:c r="K490" t="str">
        <x:v>รอสอบเทียบก่อนพร้อมส่ง</x:v>
      </x:c>
      <x:c r="L490" t="str">
        <x:v>ไม่ได้เช่ายืม = รอสอบเทียบ</x:v>
      </x:c>
      <x:c r="M490" t="str">
        <x:f>IF(OR(H490="ใช้งานไม่ได้",H490="BROKEN",H490="Broken"),"ใช้งานไม่ได้",IF(OR(H490="ไม่พบในรายการ",H490="MISSING",H490="Missing"),"ไม่พบในรายการ",IF(OR(J490="เช่ายืม",J490="IN_USE",J490="IN-USE",H490="เช่ายืม"),"เช่ายืม",IF(H490="พร้อมส่ง","พร้อมส่ง","รอสอบเทียบ"))))</x:f>
        <x:v>รอสอบเทียบ</x:v>
      </x:c>
    </x:row>
    <x:row r="491">
      <x:c r="A491" t="str">
        <x:v>CESR00150</x:v>
      </x:c>
      <x:c r="B491" t="str">
        <x:v>21123060019</x:v>
      </x:c>
      <x:c r="C491" t="str">
        <x:v>BYOND</x:v>
      </x:c>
      <x:c r="D491" t="str">
        <x:v>Sunfusion Semi-2</x:v>
      </x:c>
      <x:c r="E491" t="str">
        <x:v>Sunfusion Semi-2</x:v>
      </x:c>
      <x:c r="F491" t="str">
        <x:v>BYOND_PUMP</x:v>
      </x:c>
      <x:c r="G491" t="str">
        <x:v>Warehouse</x:v>
      </x:c>
      <x:c r="H491" t="str">
        <x:v>รอสอบเทียบ</x:v>
      </x:c>
      <x:c r="I491" t="str">
        <x:v>รอสอบเทียบ</x:v>
      </x:c>
      <x:c r="J491" t="str">
        <x:v>ไม่มีสัญญา</x:v>
      </x:c>
      <x:c r="K491" t="str">
        <x:v>รอสอบเทียบก่อนพร้อมส่ง</x:v>
      </x:c>
      <x:c r="L491" t="str">
        <x:v>ไม่ได้เช่ายืม = รอสอบเทียบ</x:v>
      </x:c>
      <x:c r="M491" t="str">
        <x:f>IF(OR(H491="ใช้งานไม่ได้",H491="BROKEN",H491="Broken"),"ใช้งานไม่ได้",IF(OR(H491="ไม่พบในรายการ",H491="MISSING",H491="Missing"),"ไม่พบในรายการ",IF(OR(J491="เช่ายืม",J491="IN_USE",J491="IN-USE",H491="เช่ายืม"),"เช่ายืม",IF(H491="พร้อมส่ง","พร้อมส่ง","รอสอบเทียบ"))))</x:f>
        <x:v>รอสอบเทียบ</x:v>
      </x:c>
    </x:row>
    <x:row r="492">
      <x:c r="A492" t="str">
        <x:v>CESR00151</x:v>
      </x:c>
      <x:c r="B492" t="str">
        <x:v>21123060020</x:v>
      </x:c>
      <x:c r="C492" t="str">
        <x:v>BYOND</x:v>
      </x:c>
      <x:c r="D492" t="str">
        <x:v>Sunfusion Semi-2</x:v>
      </x:c>
      <x:c r="E492" t="str">
        <x:v>Sunfusion Semi-2</x:v>
      </x:c>
      <x:c r="F492" t="str">
        <x:v>BYOND_PUMP</x:v>
      </x:c>
      <x:c r="G492" t="str">
        <x:v>Warehouse</x:v>
      </x:c>
      <x:c r="H492" t="str">
        <x:v>รอสอบเทียบ</x:v>
      </x:c>
      <x:c r="I492" t="str">
        <x:v>รอสอบเทียบ</x:v>
      </x:c>
      <x:c r="J492" t="str">
        <x:v>ไม่มีสัญญา</x:v>
      </x:c>
      <x:c r="K492" t="str">
        <x:v>รอสอบเทียบก่อนพร้อมส่ง</x:v>
      </x:c>
      <x:c r="L492" t="str">
        <x:v>ไม่ได้เช่ายืม = รอสอบเทียบ</x:v>
      </x:c>
      <x:c r="M492" t="str">
        <x:f>IF(OR(H492="ใช้งานไม่ได้",H492="BROKEN",H492="Broken"),"ใช้งานไม่ได้",IF(OR(H492="ไม่พบในรายการ",H492="MISSING",H492="Missing"),"ไม่พบในรายการ",IF(OR(J492="เช่ายืม",J492="IN_USE",J492="IN-USE",H492="เช่ายืม"),"เช่ายืม",IF(H492="พร้อมส่ง","พร้อมส่ง","รอสอบเทียบ"))))</x:f>
        <x:v>รอสอบเทียบ</x:v>
      </x:c>
    </x:row>
    <x:row r="493">
      <x:c r="A493" t="str">
        <x:v>CESR00152</x:v>
      </x:c>
      <x:c r="B493" t="str">
        <x:v>21123060021</x:v>
      </x:c>
      <x:c r="C493" t="str">
        <x:v>BYOND</x:v>
      </x:c>
      <x:c r="D493" t="str">
        <x:v>Sunfusion Semi-2</x:v>
      </x:c>
      <x:c r="E493" t="str">
        <x:v>Sunfusion Semi-2</x:v>
      </x:c>
      <x:c r="F493" t="str">
        <x:v>BYOND_PUMP</x:v>
      </x:c>
      <x:c r="G493" t="str">
        <x:v>Warehouse</x:v>
      </x:c>
      <x:c r="H493" t="str">
        <x:v>รอสอบเทียบ</x:v>
      </x:c>
      <x:c r="I493" t="str">
        <x:v>รอสอบเทียบ</x:v>
      </x:c>
      <x:c r="J493" t="str">
        <x:v>ไม่มีสัญญา</x:v>
      </x:c>
      <x:c r="K493" t="str">
        <x:v>รอสอบเทียบก่อนพร้อมส่ง</x:v>
      </x:c>
      <x:c r="L493" t="str">
        <x:v>ไม่ได้เช่ายืม = รอสอบเทียบ</x:v>
      </x:c>
      <x:c r="M493" t="str">
        <x:f>IF(OR(H493="ใช้งานไม่ได้",H493="BROKEN",H493="Broken"),"ใช้งานไม่ได้",IF(OR(H493="ไม่พบในรายการ",H493="MISSING",H493="Missing"),"ไม่พบในรายการ",IF(OR(J493="เช่ายืม",J493="IN_USE",J493="IN-USE",H493="เช่ายืม"),"เช่ายืม",IF(H493="พร้อมส่ง","พร้อมส่ง","รอสอบเทียบ"))))</x:f>
        <x:v>รอสอบเทียบ</x:v>
      </x:c>
    </x:row>
    <x:row r="494">
      <x:c r="A494" t="str">
        <x:v>CESR00153</x:v>
      </x:c>
      <x:c r="B494" t="str">
        <x:v>21123060022</x:v>
      </x:c>
      <x:c r="C494" t="str">
        <x:v>BYOND</x:v>
      </x:c>
      <x:c r="D494" t="str">
        <x:v>Sunfusion Semi-2</x:v>
      </x:c>
      <x:c r="E494" t="str">
        <x:v>Sunfusion Semi-2</x:v>
      </x:c>
      <x:c r="F494" t="str">
        <x:v>BYOND_PUMP</x:v>
      </x:c>
      <x:c r="G494" t="str">
        <x:v>Warehouse</x:v>
      </x:c>
      <x:c r="H494" t="str">
        <x:v>รอสอบเทียบ</x:v>
      </x:c>
      <x:c r="I494" t="str">
        <x:v>รอสอบเทียบ</x:v>
      </x:c>
      <x:c r="J494" t="str">
        <x:v>ไม่มีสัญญา</x:v>
      </x:c>
      <x:c r="K494" t="str">
        <x:v>รอสอบเทียบก่อนพร้อมส่ง</x:v>
      </x:c>
      <x:c r="L494" t="str">
        <x:v>ไม่ได้เช่ายืม = รอสอบเทียบ</x:v>
      </x:c>
      <x:c r="M494" t="str">
        <x:f>IF(OR(H494="ใช้งานไม่ได้",H494="BROKEN",H494="Broken"),"ใช้งานไม่ได้",IF(OR(H494="ไม่พบในรายการ",H494="MISSING",H494="Missing"),"ไม่พบในรายการ",IF(OR(J494="เช่ายืม",J494="IN_USE",J494="IN-USE",H494="เช่ายืม"),"เช่ายืม",IF(H494="พร้อมส่ง","พร้อมส่ง","รอสอบเทียบ"))))</x:f>
        <x:v>รอสอบเทียบ</x:v>
      </x:c>
    </x:row>
    <x:row r="495">
      <x:c r="A495" t="str">
        <x:v>CESR00154</x:v>
      </x:c>
      <x:c r="B495" t="str">
        <x:v>21123060023</x:v>
      </x:c>
      <x:c r="C495" t="str">
        <x:v>BYOND</x:v>
      </x:c>
      <x:c r="D495" t="str">
        <x:v>Sunfusion Semi-2</x:v>
      </x:c>
      <x:c r="E495" t="str">
        <x:v>Sunfusion Semi-2</x:v>
      </x:c>
      <x:c r="F495" t="str">
        <x:v>BYOND_PUMP</x:v>
      </x:c>
      <x:c r="G495" t="str">
        <x:v>Warehouse</x:v>
      </x:c>
      <x:c r="H495" t="str">
        <x:v>รอสอบเทียบ</x:v>
      </x:c>
      <x:c r="I495" t="str">
        <x:v>รอสอบเทียบ</x:v>
      </x:c>
      <x:c r="J495" t="str">
        <x:v>ไม่มีสัญญา</x:v>
      </x:c>
      <x:c r="K495" t="str">
        <x:v>รอสอบเทียบก่อนพร้อมส่ง</x:v>
      </x:c>
      <x:c r="L495" t="str">
        <x:v>ไม่ได้เช่ายืม = รอสอบเทียบ</x:v>
      </x:c>
      <x:c r="M495" t="str">
        <x:f>IF(OR(H495="ใช้งานไม่ได้",H495="BROKEN",H495="Broken"),"ใช้งานไม่ได้",IF(OR(H495="ไม่พบในรายการ",H495="MISSING",H495="Missing"),"ไม่พบในรายการ",IF(OR(J495="เช่ายืม",J495="IN_USE",J495="IN-USE",H495="เช่ายืม"),"เช่ายืม",IF(H495="พร้อมส่ง","พร้อมส่ง","รอสอบเทียบ"))))</x:f>
        <x:v>รอสอบเทียบ</x:v>
      </x:c>
    </x:row>
    <x:row r="496">
      <x:c r="A496" t="str">
        <x:v>CESR00155</x:v>
      </x:c>
      <x:c r="B496" t="str">
        <x:v>21123060024</x:v>
      </x:c>
      <x:c r="C496" t="str">
        <x:v>BYOND</x:v>
      </x:c>
      <x:c r="D496" t="str">
        <x:v>Sunfusion Semi-2</x:v>
      </x:c>
      <x:c r="E496" t="str">
        <x:v>Sunfusion Semi-2</x:v>
      </x:c>
      <x:c r="F496" t="str">
        <x:v>BYOND_PUMP</x:v>
      </x:c>
      <x:c r="G496" t="str">
        <x:v>Warehouse</x:v>
      </x:c>
      <x:c r="H496" t="str">
        <x:v>รอสอบเทียบ</x:v>
      </x:c>
      <x:c r="I496" t="str">
        <x:v>รอสอบเทียบ</x:v>
      </x:c>
      <x:c r="J496" t="str">
        <x:v>ไม่มีสัญญา</x:v>
      </x:c>
      <x:c r="K496" t="str">
        <x:v>รอสอบเทียบก่อนพร้อมส่ง</x:v>
      </x:c>
      <x:c r="L496" t="str">
        <x:v>ไม่ได้เช่ายืม = รอสอบเทียบ</x:v>
      </x:c>
      <x:c r="M496" t="str">
        <x:f>IF(OR(H496="ใช้งานไม่ได้",H496="BROKEN",H496="Broken"),"ใช้งานไม่ได้",IF(OR(H496="ไม่พบในรายการ",H496="MISSING",H496="Missing"),"ไม่พบในรายการ",IF(OR(J496="เช่ายืม",J496="IN_USE",J496="IN-USE",H496="เช่ายืม"),"เช่ายืม",IF(H496="พร้อมส่ง","พร้อมส่ง","รอสอบเทียบ"))))</x:f>
        <x:v>รอสอบเทียบ</x:v>
      </x:c>
    </x:row>
    <x:row r="497">
      <x:c r="A497" t="str">
        <x:v>CESR00156</x:v>
      </x:c>
      <x:c r="B497" t="str">
        <x:v>21123060025</x:v>
      </x:c>
      <x:c r="C497" t="str">
        <x:v>BYOND</x:v>
      </x:c>
      <x:c r="D497" t="str">
        <x:v>Sunfusion Semi-2</x:v>
      </x:c>
      <x:c r="E497" t="str">
        <x:v>Sunfusion Semi-2</x:v>
      </x:c>
      <x:c r="F497" t="str">
        <x:v>BYOND_PUMP</x:v>
      </x:c>
      <x:c r="G497" t="str">
        <x:v>Warehouse</x:v>
      </x:c>
      <x:c r="H497" t="str">
        <x:v>รอสอบเทียบ</x:v>
      </x:c>
      <x:c r="I497" t="str">
        <x:v>รอสอบเทียบ</x:v>
      </x:c>
      <x:c r="J497" t="str">
        <x:v>ไม่มีสัญญา</x:v>
      </x:c>
      <x:c r="K497" t="str">
        <x:v>รอสอบเทียบก่อนพร้อมส่ง</x:v>
      </x:c>
      <x:c r="L497" t="str">
        <x:v>ไม่ได้เช่ายืม = รอสอบเทียบ</x:v>
      </x:c>
      <x:c r="M497" t="str">
        <x:f>IF(OR(H497="ใช้งานไม่ได้",H497="BROKEN",H497="Broken"),"ใช้งานไม่ได้",IF(OR(H497="ไม่พบในรายการ",H497="MISSING",H497="Missing"),"ไม่พบในรายการ",IF(OR(J497="เช่ายืม",J497="IN_USE",J497="IN-USE",H497="เช่ายืม"),"เช่ายืม",IF(H497="พร้อมส่ง","พร้อมส่ง","รอสอบเทียบ"))))</x:f>
        <x:v>รอสอบเทียบ</x:v>
      </x:c>
    </x:row>
    <x:row r="498">
      <x:c r="A498" t="str">
        <x:v>CESR00157</x:v>
      </x:c>
      <x:c r="B498" t="str">
        <x:v>21123060026</x:v>
      </x:c>
      <x:c r="C498" t="str">
        <x:v>BYOND</x:v>
      </x:c>
      <x:c r="D498" t="str">
        <x:v>Sunfusion Semi-2</x:v>
      </x:c>
      <x:c r="E498" t="str">
        <x:v>Sunfusion Semi-2</x:v>
      </x:c>
      <x:c r="F498" t="str">
        <x:v>BYOND_PUMP</x:v>
      </x:c>
      <x:c r="G498" t="str">
        <x:v>Warehouse</x:v>
      </x:c>
      <x:c r="H498" t="str">
        <x:v>รอสอบเทียบ</x:v>
      </x:c>
      <x:c r="I498" t="str">
        <x:v>รอสอบเทียบ</x:v>
      </x:c>
      <x:c r="J498" t="str">
        <x:v>ไม่มีสัญญา</x:v>
      </x:c>
      <x:c r="K498" t="str">
        <x:v>รอสอบเทียบก่อนพร้อมส่ง</x:v>
      </x:c>
      <x:c r="L498" t="str">
        <x:v>ไม่ได้เช่ายืม = รอสอบเทียบ</x:v>
      </x:c>
      <x:c r="M498" t="str">
        <x:f>IF(OR(H498="ใช้งานไม่ได้",H498="BROKEN",H498="Broken"),"ใช้งานไม่ได้",IF(OR(H498="ไม่พบในรายการ",H498="MISSING",H498="Missing"),"ไม่พบในรายการ",IF(OR(J498="เช่ายืม",J498="IN_USE",J498="IN-USE",H498="เช่ายืม"),"เช่ายืม",IF(H498="พร้อมส่ง","พร้อมส่ง","รอสอบเทียบ"))))</x:f>
        <x:v>รอสอบเทียบ</x:v>
      </x:c>
    </x:row>
    <x:row r="499">
      <x:c r="A499" t="str">
        <x:v>CESR00158</x:v>
      </x:c>
      <x:c r="B499" t="str">
        <x:v>21123060027</x:v>
      </x:c>
      <x:c r="C499" t="str">
        <x:v>BYOND</x:v>
      </x:c>
      <x:c r="D499" t="str">
        <x:v>Sunfusion Semi-2</x:v>
      </x:c>
      <x:c r="E499" t="str">
        <x:v>Sunfusion Semi-2</x:v>
      </x:c>
      <x:c r="F499" t="str">
        <x:v>BYOND_PUMP</x:v>
      </x:c>
      <x:c r="G499" t="str">
        <x:v>Warehouse</x:v>
      </x:c>
      <x:c r="H499" t="str">
        <x:v>รอสอบเทียบ</x:v>
      </x:c>
      <x:c r="I499" t="str">
        <x:v>รอสอบเทียบ</x:v>
      </x:c>
      <x:c r="J499" t="str">
        <x:v>ไม่มีสัญญา</x:v>
      </x:c>
      <x:c r="K499" t="str">
        <x:v>รอสอบเทียบก่อนพร้อมส่ง</x:v>
      </x:c>
      <x:c r="L499" t="str">
        <x:v>ไม่ได้เช่ายืม = รอสอบเทียบ</x:v>
      </x:c>
      <x:c r="M499" t="str">
        <x:f>IF(OR(H499="ใช้งานไม่ได้",H499="BROKEN",H499="Broken"),"ใช้งานไม่ได้",IF(OR(H499="ไม่พบในรายการ",H499="MISSING",H499="Missing"),"ไม่พบในรายการ",IF(OR(J499="เช่ายืม",J499="IN_USE",J499="IN-USE",H499="เช่ายืม"),"เช่ายืม",IF(H499="พร้อมส่ง","พร้อมส่ง","รอสอบเทียบ"))))</x:f>
        <x:v>รอสอบเทียบ</x:v>
      </x:c>
    </x:row>
    <x:row r="500">
      <x:c r="A500" t="str">
        <x:v>CESR00159</x:v>
      </x:c>
      <x:c r="B500" t="str">
        <x:v>21123060028</x:v>
      </x:c>
      <x:c r="C500" t="str">
        <x:v>BYOND</x:v>
      </x:c>
      <x:c r="D500" t="str">
        <x:v>Sunfusion Semi-2</x:v>
      </x:c>
      <x:c r="E500" t="str">
        <x:v>Sunfusion Semi-2</x:v>
      </x:c>
      <x:c r="F500" t="str">
        <x:v>BYOND_PUMP</x:v>
      </x:c>
      <x:c r="G500" t="str">
        <x:v>Warehouse</x:v>
      </x:c>
      <x:c r="H500" t="str">
        <x:v>รอสอบเทียบ</x:v>
      </x:c>
      <x:c r="I500" t="str">
        <x:v>รอสอบเทียบ</x:v>
      </x:c>
      <x:c r="J500" t="str">
        <x:v>ไม่มีสัญญา</x:v>
      </x:c>
      <x:c r="K500" t="str">
        <x:v>รอสอบเทียบก่อนพร้อมส่ง</x:v>
      </x:c>
      <x:c r="L500" t="str">
        <x:v>ไม่ได้เช่ายืม = รอสอบเทียบ</x:v>
      </x:c>
      <x:c r="M500" t="str">
        <x:f>IF(OR(H500="ใช้งานไม่ได้",H500="BROKEN",H500="Broken"),"ใช้งานไม่ได้",IF(OR(H500="ไม่พบในรายการ",H500="MISSING",H500="Missing"),"ไม่พบในรายการ",IF(OR(J500="เช่ายืม",J500="IN_USE",J500="IN-USE",H500="เช่ายืม"),"เช่ายืม",IF(H500="พร้อมส่ง","พร้อมส่ง","รอสอบเทียบ"))))</x:f>
        <x:v>รอสอบเทียบ</x:v>
      </x:c>
    </x:row>
    <x:row r="501">
      <x:c r="A501" t="str">
        <x:v>CESR00160</x:v>
      </x:c>
      <x:c r="B501" t="str">
        <x:v>21123060029</x:v>
      </x:c>
      <x:c r="C501" t="str">
        <x:v>BYOND</x:v>
      </x:c>
      <x:c r="D501" t="str">
        <x:v>Sunfusion Semi-2</x:v>
      </x:c>
      <x:c r="E501" t="str">
        <x:v>Sunfusion Semi-2</x:v>
      </x:c>
      <x:c r="F501" t="str">
        <x:v>BYOND_PUMP</x:v>
      </x:c>
      <x:c r="G501" t="str">
        <x:v>Warehouse</x:v>
      </x:c>
      <x:c r="H501" t="str">
        <x:v>รอสอบเทียบ</x:v>
      </x:c>
      <x:c r="I501" t="str">
        <x:v>รอสอบเทียบ</x:v>
      </x:c>
      <x:c r="J501" t="str">
        <x:v>ไม่มีสัญญา</x:v>
      </x:c>
      <x:c r="K501" t="str">
        <x:v>รอสอบเทียบก่อนพร้อมส่ง</x:v>
      </x:c>
      <x:c r="L501" t="str">
        <x:v>ไม่ได้เช่ายืม = รอสอบเทียบ</x:v>
      </x:c>
      <x:c r="M501" t="str">
        <x:f>IF(OR(H501="ใช้งานไม่ได้",H501="BROKEN",H501="Broken"),"ใช้งานไม่ได้",IF(OR(H501="ไม่พบในรายการ",H501="MISSING",H501="Missing"),"ไม่พบในรายการ",IF(OR(J501="เช่ายืม",J501="IN_USE",J501="IN-USE",H501="เช่ายืม"),"เช่ายืม",IF(H501="พร้อมส่ง","พร้อมส่ง","รอสอบเทียบ"))))</x:f>
        <x:v>รอสอบเทียบ</x:v>
      </x:c>
    </x:row>
    <x:row r="502">
      <x:c r="A502" t="str">
        <x:v>CESR00161</x:v>
      </x:c>
      <x:c r="B502" t="str">
        <x:v>21123060030</x:v>
      </x:c>
      <x:c r="C502" t="str">
        <x:v>BYOND</x:v>
      </x:c>
      <x:c r="D502" t="str">
        <x:v>Sunfusion Semi-2</x:v>
      </x:c>
      <x:c r="E502" t="str">
        <x:v>Sunfusion Semi-2</x:v>
      </x:c>
      <x:c r="F502" t="str">
        <x:v>BYOND_PUMP</x:v>
      </x:c>
      <x:c r="G502" t="str">
        <x:v>GJ</x:v>
      </x:c>
      <x:c r="H502" t="str">
        <x:v>เช่ายืม</x:v>
      </x:c>
      <x:c r="I502" t="str">
        <x:v>พร้อมส่ง</x:v>
      </x:c>
      <x:c r="J502" t="str">
        <x:v>เช่ายืม</x:v>
      </x:c>
      <x:c r="K502" t="str">
        <x:v>อยู่ระหว่างเช่ายืม</x:v>
      </x:c>
      <x:c r="L502"/>
      <x:c r="M502" t="str">
        <x:f>IF(OR(H502="ใช้งานไม่ได้",H502="BROKEN",H502="Broken"),"ใช้งานไม่ได้",IF(OR(H502="ไม่พบในรายการ",H502="MISSING",H502="Missing"),"ไม่พบในรายการ",IF(OR(J502="เช่ายืม",J502="IN_USE",J502="IN-USE",H502="เช่ายืม"),"เช่ายืม",IF(H502="พร้อมส่ง","พร้อมส่ง","รอสอบเทียบ"))))</x:f>
        <x:v>เช่ายืม</x:v>
      </x:c>
    </x:row>
    <x:row r="503">
      <x:c r="A503" t="str">
        <x:v>CESR00162</x:v>
      </x:c>
      <x:c r="B503" t="str">
        <x:v>21123060031</x:v>
      </x:c>
      <x:c r="C503" t="str">
        <x:v>BYOND</x:v>
      </x:c>
      <x:c r="D503" t="str">
        <x:v>Sunfusion Semi-2</x:v>
      </x:c>
      <x:c r="E503" t="str">
        <x:v>Sunfusion Semi-2</x:v>
      </x:c>
      <x:c r="F503" t="str">
        <x:v>BYOND_PUMP</x:v>
      </x:c>
      <x:c r="G503" t="str">
        <x:v>รพ.สูงเนิน</x:v>
      </x:c>
      <x:c r="H503" t="str">
        <x:v>เช่ายืม</x:v>
      </x:c>
      <x:c r="I503" t="str">
        <x:v>พร้อมส่ง</x:v>
      </x:c>
      <x:c r="J503" t="str">
        <x:v>เช่ายืม</x:v>
      </x:c>
      <x:c r="K503" t="str">
        <x:v>No action</x:v>
      </x:c>
      <x:c r="L503"/>
      <x:c r="M503" t="str">
        <x:f>IF(OR(H503="ใช้งานไม่ได้",H503="BROKEN",H503="Broken"),"ใช้งานไม่ได้",IF(OR(H503="ไม่พบในรายการ",H503="MISSING",H503="Missing"),"ไม่พบในรายการ",IF(OR(J503="เช่ายืม",J503="IN_USE",J503="IN-USE",H503="เช่ายืม"),"เช่ายืม",IF(H503="พร้อมส่ง","พร้อมส่ง","รอสอบเทียบ"))))</x:f>
        <x:v>เช่ายืม</x:v>
      </x:c>
    </x:row>
    <x:row r="504">
      <x:c r="A504" t="str">
        <x:v>CESR00163</x:v>
      </x:c>
      <x:c r="B504" t="str">
        <x:v>21123060032</x:v>
      </x:c>
      <x:c r="C504" t="str">
        <x:v>BYOND</x:v>
      </x:c>
      <x:c r="D504" t="str">
        <x:v>Sunfusion Semi-2</x:v>
      </x:c>
      <x:c r="E504" t="str">
        <x:v>Sunfusion Semi-2</x:v>
      </x:c>
      <x:c r="F504" t="str">
        <x:v>BYOND_PUMP</x:v>
      </x:c>
      <x:c r="G504" t="str">
        <x:v>Warehouse</x:v>
      </x:c>
      <x:c r="H504" t="str">
        <x:v>รอสอบเทียบ</x:v>
      </x:c>
      <x:c r="I504" t="str">
        <x:v>รอสอบเทียบ</x:v>
      </x:c>
      <x:c r="J504" t="str">
        <x:v>ไม่มีสัญญา</x:v>
      </x:c>
      <x:c r="K504" t="str">
        <x:v>รอสอบเทียบก่อนพร้อมส่ง</x:v>
      </x:c>
      <x:c r="L504" t="str">
        <x:v>ไม่ได้เช่ายืม = รอสอบเทียบ</x:v>
      </x:c>
      <x:c r="M504" t="str">
        <x:f>IF(OR(H504="ใช้งานไม่ได้",H504="BROKEN",H504="Broken"),"ใช้งานไม่ได้",IF(OR(H504="ไม่พบในรายการ",H504="MISSING",H504="Missing"),"ไม่พบในรายการ",IF(OR(J504="เช่ายืม",J504="IN_USE",J504="IN-USE",H504="เช่ายืม"),"เช่ายืม",IF(H504="พร้อมส่ง","พร้อมส่ง","รอสอบเทียบ"))))</x:f>
        <x:v>รอสอบเทียบ</x:v>
      </x:c>
    </x:row>
    <x:row r="505">
      <x:c r="A505" t="str">
        <x:v>CESR00164</x:v>
      </x:c>
      <x:c r="B505" t="str">
        <x:v>21123060033</x:v>
      </x:c>
      <x:c r="C505" t="str">
        <x:v>BYOND</x:v>
      </x:c>
      <x:c r="D505" t="str">
        <x:v>Sunfusion Semi-2</x:v>
      </x:c>
      <x:c r="E505" t="str">
        <x:v>Sunfusion Semi-2</x:v>
      </x:c>
      <x:c r="F505" t="str">
        <x:v>BYOND_PUMP</x:v>
      </x:c>
      <x:c r="G505" t="str">
        <x:v>Warehouse</x:v>
      </x:c>
      <x:c r="H505" t="str">
        <x:v>รอสอบเทียบ</x:v>
      </x:c>
      <x:c r="I505" t="str">
        <x:v>รอสอบเทียบ</x:v>
      </x:c>
      <x:c r="J505" t="str">
        <x:v>ไม่มีสัญญา</x:v>
      </x:c>
      <x:c r="K505" t="str">
        <x:v>รอสอบเทียบก่อนพร้อมส่ง</x:v>
      </x:c>
      <x:c r="L505" t="str">
        <x:v>ไม่ได้เช่ายืม = รอสอบเทียบ</x:v>
      </x:c>
      <x:c r="M505" t="str">
        <x:f>IF(OR(H505="ใช้งานไม่ได้",H505="BROKEN",H505="Broken"),"ใช้งานไม่ได้",IF(OR(H505="ไม่พบในรายการ",H505="MISSING",H505="Missing"),"ไม่พบในรายการ",IF(OR(J505="เช่ายืม",J505="IN_USE",J505="IN-USE",H505="เช่ายืม"),"เช่ายืม",IF(H505="พร้อมส่ง","พร้อมส่ง","รอสอบเทียบ"))))</x:f>
        <x:v>รอสอบเทียบ</x:v>
      </x:c>
    </x:row>
    <x:row r="506">
      <x:c r="A506" t="str">
        <x:v>CESR00165</x:v>
      </x:c>
      <x:c r="B506" t="str">
        <x:v>21123060034</x:v>
      </x:c>
      <x:c r="C506" t="str">
        <x:v>BYOND</x:v>
      </x:c>
      <x:c r="D506" t="str">
        <x:v>Sunfusion Semi-2</x:v>
      </x:c>
      <x:c r="E506" t="str">
        <x:v>Sunfusion Semi-2</x:v>
      </x:c>
      <x:c r="F506" t="str">
        <x:v>BYOND_PUMP</x:v>
      </x:c>
      <x:c r="G506" t="str">
        <x:v>Warehouse</x:v>
      </x:c>
      <x:c r="H506" t="str">
        <x:v>รอสอบเทียบ</x:v>
      </x:c>
      <x:c r="I506" t="str">
        <x:v>รอสอบเทียบ</x:v>
      </x:c>
      <x:c r="J506" t="str">
        <x:v>ไม่มีสัญญา</x:v>
      </x:c>
      <x:c r="K506" t="str">
        <x:v>รอสอบเทียบก่อนพร้อมส่ง</x:v>
      </x:c>
      <x:c r="L506" t="str">
        <x:v>ไม่ได้เช่ายืม = รอสอบเทียบ</x:v>
      </x:c>
      <x:c r="M506" t="str">
        <x:f>IF(OR(H506="ใช้งานไม่ได้",H506="BROKEN",H506="Broken"),"ใช้งานไม่ได้",IF(OR(H506="ไม่พบในรายการ",H506="MISSING",H506="Missing"),"ไม่พบในรายการ",IF(OR(J506="เช่ายืม",J506="IN_USE",J506="IN-USE",H506="เช่ายืม"),"เช่ายืม",IF(H506="พร้อมส่ง","พร้อมส่ง","รอสอบเทียบ"))))</x:f>
        <x:v>รอสอบเทียบ</x:v>
      </x:c>
    </x:row>
    <x:row r="507">
      <x:c r="A507" t="str">
        <x:v>CESR00166</x:v>
      </x:c>
      <x:c r="B507" t="str">
        <x:v>21123060035</x:v>
      </x:c>
      <x:c r="C507" t="str">
        <x:v>BYOND</x:v>
      </x:c>
      <x:c r="D507" t="str">
        <x:v>Sunfusion Semi-2</x:v>
      </x:c>
      <x:c r="E507" t="str">
        <x:v>Sunfusion Semi-2</x:v>
      </x:c>
      <x:c r="F507" t="str">
        <x:v>BYOND_PUMP</x:v>
      </x:c>
      <x:c r="G507" t="str">
        <x:v>Warehouse</x:v>
      </x:c>
      <x:c r="H507" t="str">
        <x:v>รอสอบเทียบ</x:v>
      </x:c>
      <x:c r="I507" t="str">
        <x:v>รอสอบเทียบ</x:v>
      </x:c>
      <x:c r="J507" t="str">
        <x:v>ไม่มีสัญญา</x:v>
      </x:c>
      <x:c r="K507" t="str">
        <x:v>รอสอบเทียบก่อนพร้อมส่ง</x:v>
      </x:c>
      <x:c r="L507" t="str">
        <x:v>ไม่ได้เช่ายืม = รอสอบเทียบ</x:v>
      </x:c>
      <x:c r="M507" t="str">
        <x:f>IF(OR(H507="ใช้งานไม่ได้",H507="BROKEN",H507="Broken"),"ใช้งานไม่ได้",IF(OR(H507="ไม่พบในรายการ",H507="MISSING",H507="Missing"),"ไม่พบในรายการ",IF(OR(J507="เช่ายืม",J507="IN_USE",J507="IN-USE",H507="เช่ายืม"),"เช่ายืม",IF(H507="พร้อมส่ง","พร้อมส่ง","รอสอบเทียบ"))))</x:f>
        <x:v>รอสอบเทียบ</x:v>
      </x:c>
    </x:row>
    <x:row r="508">
      <x:c r="A508" t="str">
        <x:v>CESR00167</x:v>
      </x:c>
      <x:c r="B508" t="str">
        <x:v>21124030173</x:v>
      </x:c>
      <x:c r="C508" t="str">
        <x:v>BYOND</x:v>
      </x:c>
      <x:c r="D508" t="str">
        <x:v>Sunfusion Semi-2</x:v>
      </x:c>
      <x:c r="E508" t="str">
        <x:v>Sunfusion Semi-2</x:v>
      </x:c>
      <x:c r="F508" t="str">
        <x:v>BYOND_PUMP</x:v>
      </x:c>
      <x:c r="G508" t="str">
        <x:v>Warehouse</x:v>
      </x:c>
      <x:c r="H508" t="str">
        <x:v>รอสอบเทียบ</x:v>
      </x:c>
      <x:c r="I508" t="str">
        <x:v>รอสอบเทียบ</x:v>
      </x:c>
      <x:c r="J508" t="str">
        <x:v>ไม่มีสัญญา</x:v>
      </x:c>
      <x:c r="K508" t="str">
        <x:v>รอสอบเทียบก่อนพร้อมส่ง</x:v>
      </x:c>
      <x:c r="L508" t="str">
        <x:v>ไม่ได้เช่ายืม = รอสอบเทียบ</x:v>
      </x:c>
      <x:c r="M508" t="str">
        <x:f>IF(OR(H508="ใช้งานไม่ได้",H508="BROKEN",H508="Broken"),"ใช้งานไม่ได้",IF(OR(H508="ไม่พบในรายการ",H508="MISSING",H508="Missing"),"ไม่พบในรายการ",IF(OR(J508="เช่ายืม",J508="IN_USE",J508="IN-USE",H508="เช่ายืม"),"เช่ายืม",IF(H508="พร้อมส่ง","พร้อมส่ง","รอสอบเทียบ"))))</x:f>
        <x:v>รอสอบเทียบ</x:v>
      </x:c>
    </x:row>
    <x:row r="509">
      <x:c r="A509" t="str">
        <x:v>CESR00168</x:v>
      </x:c>
      <x:c r="B509" t="str">
        <x:v>21123060037</x:v>
      </x:c>
      <x:c r="C509" t="str">
        <x:v>BYOND</x:v>
      </x:c>
      <x:c r="D509" t="str">
        <x:v>Sunfusion Semi-2</x:v>
      </x:c>
      <x:c r="E509" t="str">
        <x:v>Sunfusion Semi-2</x:v>
      </x:c>
      <x:c r="F509" t="str">
        <x:v>BYOND_PUMP</x:v>
      </x:c>
      <x:c r="G509" t="str">
        <x:v>รพ.สูงเนิน</x:v>
      </x:c>
      <x:c r="H509" t="str">
        <x:v>เช่ายืม</x:v>
      </x:c>
      <x:c r="I509" t="str">
        <x:v>พร้อมส่ง</x:v>
      </x:c>
      <x:c r="J509" t="str">
        <x:v>เช่ายืม</x:v>
      </x:c>
      <x:c r="K509" t="str">
        <x:v>No action</x:v>
      </x:c>
      <x:c r="L509"/>
      <x:c r="M509" t="str">
        <x:f>IF(OR(H509="ใช้งานไม่ได้",H509="BROKEN",H509="Broken"),"ใช้งานไม่ได้",IF(OR(H509="ไม่พบในรายการ",H509="MISSING",H509="Missing"),"ไม่พบในรายการ",IF(OR(J509="เช่ายืม",J509="IN_USE",J509="IN-USE",H509="เช่ายืม"),"เช่ายืม",IF(H509="พร้อมส่ง","พร้อมส่ง","รอสอบเทียบ"))))</x:f>
        <x:v>เช่ายืม</x:v>
      </x:c>
    </x:row>
    <x:row r="510">
      <x:c r="A510" t="str">
        <x:v>CESR00169</x:v>
      </x:c>
      <x:c r="B510" t="str">
        <x:v>21123060038</x:v>
      </x:c>
      <x:c r="C510" t="str">
        <x:v>BYOND</x:v>
      </x:c>
      <x:c r="D510" t="str">
        <x:v>Sunfusion Semi-2</x:v>
      </x:c>
      <x:c r="E510" t="str">
        <x:v>Sunfusion Semi-2</x:v>
      </x:c>
      <x:c r="F510" t="str">
        <x:v>BYOND_PUMP</x:v>
      </x:c>
      <x:c r="G510" t="str">
        <x:v>Warehouse</x:v>
      </x:c>
      <x:c r="H510" t="str">
        <x:v>รอสอบเทียบ</x:v>
      </x:c>
      <x:c r="I510" t="str">
        <x:v>รอสอบเทียบ</x:v>
      </x:c>
      <x:c r="J510" t="str">
        <x:v>ไม่มีสัญญา</x:v>
      </x:c>
      <x:c r="K510" t="str">
        <x:v>รอสอบเทียบก่อนพร้อมส่ง</x:v>
      </x:c>
      <x:c r="L510" t="str">
        <x:v>ไม่ได้เช่ายืม = รอสอบเทียบ</x:v>
      </x:c>
      <x:c r="M510" t="str">
        <x:f>IF(OR(H510="ใช้งานไม่ได้",H510="BROKEN",H510="Broken"),"ใช้งานไม่ได้",IF(OR(H510="ไม่พบในรายการ",H510="MISSING",H510="Missing"),"ไม่พบในรายการ",IF(OR(J510="เช่ายืม",J510="IN_USE",J510="IN-USE",H510="เช่ายืม"),"เช่ายืม",IF(H510="พร้อมส่ง","พร้อมส่ง","รอสอบเทียบ"))))</x:f>
        <x:v>รอสอบเทียบ</x:v>
      </x:c>
    </x:row>
    <x:row r="511">
      <x:c r="A511" t="str">
        <x:v>CESR00170</x:v>
      </x:c>
      <x:c r="B511" t="str">
        <x:v>21123060039</x:v>
      </x:c>
      <x:c r="C511" t="str">
        <x:v>BYOND</x:v>
      </x:c>
      <x:c r="D511" t="str">
        <x:v>Sunfusion Semi-2</x:v>
      </x:c>
      <x:c r="E511" t="str">
        <x:v>Sunfusion Semi-2</x:v>
      </x:c>
      <x:c r="F511" t="str">
        <x:v>BYOND_PUMP</x:v>
      </x:c>
      <x:c r="G511" t="str">
        <x:v>GJ</x:v>
      </x:c>
      <x:c r="H511" t="str">
        <x:v>เช่ายืม</x:v>
      </x:c>
      <x:c r="I511" t="str">
        <x:v>พร้อมส่ง</x:v>
      </x:c>
      <x:c r="J511" t="str">
        <x:v>เช่ายืม</x:v>
      </x:c>
      <x:c r="K511" t="str">
        <x:v>อยู่ระหว่างเช่ายืม</x:v>
      </x:c>
      <x:c r="L511"/>
      <x:c r="M511" t="str">
        <x:f>IF(OR(H511="ใช้งานไม่ได้",H511="BROKEN",H511="Broken"),"ใช้งานไม่ได้",IF(OR(H511="ไม่พบในรายการ",H511="MISSING",H511="Missing"),"ไม่พบในรายการ",IF(OR(J511="เช่ายืม",J511="IN_USE",J511="IN-USE",H511="เช่ายืม"),"เช่ายืม",IF(H511="พร้อมส่ง","พร้อมส่ง","รอสอบเทียบ"))))</x:f>
        <x:v>เช่ายืม</x:v>
      </x:c>
    </x:row>
    <x:row r="512">
      <x:c r="A512" t="str">
        <x:v>CESR00171</x:v>
      </x:c>
      <x:c r="B512" t="str">
        <x:v>21123060040</x:v>
      </x:c>
      <x:c r="C512" t="str">
        <x:v>BYOND</x:v>
      </x:c>
      <x:c r="D512" t="str">
        <x:v>Sunfusion Semi-2</x:v>
      </x:c>
      <x:c r="E512" t="str">
        <x:v>Sunfusion Semi-2</x:v>
      </x:c>
      <x:c r="F512" t="str">
        <x:v>BYOND_PUMP</x:v>
      </x:c>
      <x:c r="G512" t="str">
        <x:v>Warehouse</x:v>
      </x:c>
      <x:c r="H512" t="str">
        <x:v>รอสอบเทียบ</x:v>
      </x:c>
      <x:c r="I512" t="str">
        <x:v>รอสอบเทียบ</x:v>
      </x:c>
      <x:c r="J512" t="str">
        <x:v>ไม่มีสัญญา</x:v>
      </x:c>
      <x:c r="K512" t="str">
        <x:v>รอสอบเทียบก่อนพร้อมส่ง</x:v>
      </x:c>
      <x:c r="L512" t="str">
        <x:v>ไม่ได้เช่ายืม = รอสอบเทียบ</x:v>
      </x:c>
      <x:c r="M512" t="str">
        <x:f>IF(OR(H512="ใช้งานไม่ได้",H512="BROKEN",H512="Broken"),"ใช้งานไม่ได้",IF(OR(H512="ไม่พบในรายการ",H512="MISSING",H512="Missing"),"ไม่พบในรายการ",IF(OR(J512="เช่ายืม",J512="IN_USE",J512="IN-USE",H512="เช่ายืม"),"เช่ายืม",IF(H512="พร้อมส่ง","พร้อมส่ง","รอสอบเทียบ"))))</x:f>
        <x:v>รอสอบเทียบ</x:v>
      </x:c>
    </x:row>
    <x:row r="513">
      <x:c r="A513" t="str">
        <x:v>CESR00172</x:v>
      </x:c>
      <x:c r="B513" t="str">
        <x:v>21123060042</x:v>
      </x:c>
      <x:c r="C513" t="str">
        <x:v>BYOND</x:v>
      </x:c>
      <x:c r="D513" t="str">
        <x:v>Sunfusion Semi-2</x:v>
      </x:c>
      <x:c r="E513" t="str">
        <x:v>Sunfusion Semi-2</x:v>
      </x:c>
      <x:c r="F513" t="str">
        <x:v>BYOND_PUMP</x:v>
      </x:c>
      <x:c r="G513" t="str">
        <x:v>GJ</x:v>
      </x:c>
      <x:c r="H513" t="str">
        <x:v>เช่ายืม</x:v>
      </x:c>
      <x:c r="I513" t="str">
        <x:v>พร้อมส่ง</x:v>
      </x:c>
      <x:c r="J513" t="str">
        <x:v>เช่ายืม</x:v>
      </x:c>
      <x:c r="K513" t="str">
        <x:v>อยู่ระหว่างเช่ายืม</x:v>
      </x:c>
      <x:c r="L513"/>
      <x:c r="M513" t="str">
        <x:f>IF(OR(H513="ใช้งานไม่ได้",H513="BROKEN",H513="Broken"),"ใช้งานไม่ได้",IF(OR(H513="ไม่พบในรายการ",H513="MISSING",H513="Missing"),"ไม่พบในรายการ",IF(OR(J513="เช่ายืม",J513="IN_USE",J513="IN-USE",H513="เช่ายืม"),"เช่ายืม",IF(H513="พร้อมส่ง","พร้อมส่ง","รอสอบเทียบ"))))</x:f>
        <x:v>เช่ายืม</x:v>
      </x:c>
    </x:row>
    <x:row r="514">
      <x:c r="A514" t="str">
        <x:v>CESR00173</x:v>
      </x:c>
      <x:c r="B514" t="str">
        <x:v>21123060043</x:v>
      </x:c>
      <x:c r="C514" t="str">
        <x:v>BYOND</x:v>
      </x:c>
      <x:c r="D514" t="str">
        <x:v>Sunfusion Semi-2</x:v>
      </x:c>
      <x:c r="E514" t="str">
        <x:v>Sunfusion Semi-2</x:v>
      </x:c>
      <x:c r="F514" t="str">
        <x:v>BYOND_PUMP</x:v>
      </x:c>
      <x:c r="G514" t="str">
        <x:v>Warehouse</x:v>
      </x:c>
      <x:c r="H514" t="str">
        <x:v>รอสอบเทียบ</x:v>
      </x:c>
      <x:c r="I514" t="str">
        <x:v>รอสอบเทียบ</x:v>
      </x:c>
      <x:c r="J514" t="str">
        <x:v>ไม่มีสัญญา</x:v>
      </x:c>
      <x:c r="K514" t="str">
        <x:v>รอสอบเทียบก่อนพร้อมส่ง</x:v>
      </x:c>
      <x:c r="L514" t="str">
        <x:v>ไม่ได้เช่ายืม = รอสอบเทียบ</x:v>
      </x:c>
      <x:c r="M514" t="str">
        <x:f>IF(OR(H514="ใช้งานไม่ได้",H514="BROKEN",H514="Broken"),"ใช้งานไม่ได้",IF(OR(H514="ไม่พบในรายการ",H514="MISSING",H514="Missing"),"ไม่พบในรายการ",IF(OR(J514="เช่ายืม",J514="IN_USE",J514="IN-USE",H514="เช่ายืม"),"เช่ายืม",IF(H514="พร้อมส่ง","พร้อมส่ง","รอสอบเทียบ"))))</x:f>
        <x:v>รอสอบเทียบ</x:v>
      </x:c>
    </x:row>
    <x:row r="515">
      <x:c r="A515" t="str">
        <x:v>CESR00174</x:v>
      </x:c>
      <x:c r="B515" t="str">
        <x:v>21123060044</x:v>
      </x:c>
      <x:c r="C515" t="str">
        <x:v>BYOND</x:v>
      </x:c>
      <x:c r="D515" t="str">
        <x:v>Sunfusion Semi-2</x:v>
      </x:c>
      <x:c r="E515" t="str">
        <x:v>Sunfusion Semi-2</x:v>
      </x:c>
      <x:c r="F515" t="str">
        <x:v>BYOND_PUMP</x:v>
      </x:c>
      <x:c r="G515" t="str">
        <x:v>Warehouse</x:v>
      </x:c>
      <x:c r="H515" t="str">
        <x:v>รอสอบเทียบ</x:v>
      </x:c>
      <x:c r="I515" t="str">
        <x:v>รอสอบเทียบ</x:v>
      </x:c>
      <x:c r="J515" t="str">
        <x:v>ไม่มีสัญญา</x:v>
      </x:c>
      <x:c r="K515" t="str">
        <x:v>รอสอบเทียบก่อนพร้อมส่ง</x:v>
      </x:c>
      <x:c r="L515" t="str">
        <x:v>ไม่ได้เช่ายืม = รอสอบเทียบ</x:v>
      </x:c>
      <x:c r="M515" t="str">
        <x:f>IF(OR(H515="ใช้งานไม่ได้",H515="BROKEN",H515="Broken"),"ใช้งานไม่ได้",IF(OR(H515="ไม่พบในรายการ",H515="MISSING",H515="Missing"),"ไม่พบในรายการ",IF(OR(J515="เช่ายืม",J515="IN_USE",J515="IN-USE",H515="เช่ายืม"),"เช่ายืม",IF(H515="พร้อมส่ง","พร้อมส่ง","รอสอบเทียบ"))))</x:f>
        <x:v>รอสอบเทียบ</x:v>
      </x:c>
    </x:row>
    <x:row r="516">
      <x:c r="A516" t="str">
        <x:v>CESR00175</x:v>
      </x:c>
      <x:c r="B516" t="str">
        <x:v>21123060045</x:v>
      </x:c>
      <x:c r="C516" t="str">
        <x:v>BYOND</x:v>
      </x:c>
      <x:c r="D516" t="str">
        <x:v>Sunfusion Semi-2</x:v>
      </x:c>
      <x:c r="E516" t="str">
        <x:v>Sunfusion Semi-2</x:v>
      </x:c>
      <x:c r="F516" t="str">
        <x:v>BYOND_PUMP</x:v>
      </x:c>
      <x:c r="G516" t="str">
        <x:v>Warehouse</x:v>
      </x:c>
      <x:c r="H516" t="str">
        <x:v>รอสอบเทียบ</x:v>
      </x:c>
      <x:c r="I516" t="str">
        <x:v>รอสอบเทียบ</x:v>
      </x:c>
      <x:c r="J516" t="str">
        <x:v>ไม่มีสัญญา</x:v>
      </x:c>
      <x:c r="K516" t="str">
        <x:v>รอสอบเทียบก่อนพร้อมส่ง</x:v>
      </x:c>
      <x:c r="L516" t="str">
        <x:v>ไม่ได้เช่ายืม = รอสอบเทียบ</x:v>
      </x:c>
      <x:c r="M516" t="str">
        <x:f>IF(OR(H516="ใช้งานไม่ได้",H516="BROKEN",H516="Broken"),"ใช้งานไม่ได้",IF(OR(H516="ไม่พบในรายการ",H516="MISSING",H516="Missing"),"ไม่พบในรายการ",IF(OR(J516="เช่ายืม",J516="IN_USE",J516="IN-USE",H516="เช่ายืม"),"เช่ายืม",IF(H516="พร้อมส่ง","พร้อมส่ง","รอสอบเทียบ"))))</x:f>
        <x:v>รอสอบเทียบ</x:v>
      </x:c>
    </x:row>
    <x:row r="517">
      <x:c r="A517" t="str">
        <x:v>CESR00176</x:v>
      </x:c>
      <x:c r="B517" t="str">
        <x:v>21123060046</x:v>
      </x:c>
      <x:c r="C517" t="str">
        <x:v>BYOND</x:v>
      </x:c>
      <x:c r="D517" t="str">
        <x:v>Sunfusion Semi-2</x:v>
      </x:c>
      <x:c r="E517" t="str">
        <x:v>Sunfusion Semi-2</x:v>
      </x:c>
      <x:c r="F517" t="str">
        <x:v>BYOND_PUMP</x:v>
      </x:c>
      <x:c r="G517" t="str">
        <x:v>รพ.สูงเนิน</x:v>
      </x:c>
      <x:c r="H517" t="str">
        <x:v>เช่ายืม</x:v>
      </x:c>
      <x:c r="I517" t="str">
        <x:v>พร้อมส่ง</x:v>
      </x:c>
      <x:c r="J517" t="str">
        <x:v>เช่ายืม</x:v>
      </x:c>
      <x:c r="K517" t="str">
        <x:v>No action</x:v>
      </x:c>
      <x:c r="L517"/>
      <x:c r="M517" t="str">
        <x:f>IF(OR(H517="ใช้งานไม่ได้",H517="BROKEN",H517="Broken"),"ใช้งานไม่ได้",IF(OR(H517="ไม่พบในรายการ",H517="MISSING",H517="Missing"),"ไม่พบในรายการ",IF(OR(J517="เช่ายืม",J517="IN_USE",J517="IN-USE",H517="เช่ายืม"),"เช่ายืม",IF(H517="พร้อมส่ง","พร้อมส่ง","รอสอบเทียบ"))))</x:f>
        <x:v>เช่ายืม</x:v>
      </x:c>
    </x:row>
    <x:row r="518">
      <x:c r="A518" t="str">
        <x:v>CESR00177</x:v>
      </x:c>
      <x:c r="B518" t="str">
        <x:v>21123060047</x:v>
      </x:c>
      <x:c r="C518" t="str">
        <x:v>BYOND</x:v>
      </x:c>
      <x:c r="D518" t="str">
        <x:v>Sunfusion Semi-2</x:v>
      </x:c>
      <x:c r="E518" t="str">
        <x:v>Sunfusion Semi-2</x:v>
      </x:c>
      <x:c r="F518" t="str">
        <x:v>BYOND_PUMP</x:v>
      </x:c>
      <x:c r="G518" t="str">
        <x:v>GJ</x:v>
      </x:c>
      <x:c r="H518" t="str">
        <x:v>เช่ายืม</x:v>
      </x:c>
      <x:c r="I518" t="str">
        <x:v>พร้อมส่ง</x:v>
      </x:c>
      <x:c r="J518" t="str">
        <x:v>เช่ายืม</x:v>
      </x:c>
      <x:c r="K518" t="str">
        <x:v>อยู่ระหว่างเช่ายืม</x:v>
      </x:c>
      <x:c r="L518"/>
      <x:c r="M518" t="str">
        <x:f>IF(OR(H518="ใช้งานไม่ได้",H518="BROKEN",H518="Broken"),"ใช้งานไม่ได้",IF(OR(H518="ไม่พบในรายการ",H518="MISSING",H518="Missing"),"ไม่พบในรายการ",IF(OR(J518="เช่ายืม",J518="IN_USE",J518="IN-USE",H518="เช่ายืม"),"เช่ายืม",IF(H518="พร้อมส่ง","พร้อมส่ง","รอสอบเทียบ"))))</x:f>
        <x:v>เช่ายืม</x:v>
      </x:c>
    </x:row>
    <x:row r="519">
      <x:c r="A519" t="str">
        <x:v>CESR00178</x:v>
      </x:c>
      <x:c r="B519" t="str">
        <x:v>21123060048</x:v>
      </x:c>
      <x:c r="C519" t="str">
        <x:v>BYOND</x:v>
      </x:c>
      <x:c r="D519" t="str">
        <x:v>Sunfusion Semi-2</x:v>
      </x:c>
      <x:c r="E519" t="str">
        <x:v>Sunfusion Semi-2</x:v>
      </x:c>
      <x:c r="F519" t="str">
        <x:v>BYOND_PUMP</x:v>
      </x:c>
      <x:c r="G519" t="str">
        <x:v>Warehouse</x:v>
      </x:c>
      <x:c r="H519" t="str">
        <x:v>รอสอบเทียบ</x:v>
      </x:c>
      <x:c r="I519" t="str">
        <x:v>รอสอบเทียบ</x:v>
      </x:c>
      <x:c r="J519" t="str">
        <x:v>ไม่มีสัญญา</x:v>
      </x:c>
      <x:c r="K519" t="str">
        <x:v>รอสอบเทียบก่อนพร้อมส่ง</x:v>
      </x:c>
      <x:c r="L519" t="str">
        <x:v>ไม่ได้เช่ายืม = รอสอบเทียบ</x:v>
      </x:c>
      <x:c r="M519" t="str">
        <x:f>IF(OR(H519="ใช้งานไม่ได้",H519="BROKEN",H519="Broken"),"ใช้งานไม่ได้",IF(OR(H519="ไม่พบในรายการ",H519="MISSING",H519="Missing"),"ไม่พบในรายการ",IF(OR(J519="เช่ายืม",J519="IN_USE",J519="IN-USE",H519="เช่ายืม"),"เช่ายืม",IF(H519="พร้อมส่ง","พร้อมส่ง","รอสอบเทียบ"))))</x:f>
        <x:v>รอสอบเทียบ</x:v>
      </x:c>
    </x:row>
    <x:row r="520">
      <x:c r="A520" t="str">
        <x:v>CESR00179</x:v>
      </x:c>
      <x:c r="B520" t="str">
        <x:v>21123060049</x:v>
      </x:c>
      <x:c r="C520" t="str">
        <x:v>BYOND</x:v>
      </x:c>
      <x:c r="D520" t="str">
        <x:v>Sunfusion Semi-2</x:v>
      </x:c>
      <x:c r="E520" t="str">
        <x:v>Sunfusion Semi-2</x:v>
      </x:c>
      <x:c r="F520" t="str">
        <x:v>BYOND_PUMP</x:v>
      </x:c>
      <x:c r="G520" t="str">
        <x:v>Warehouse</x:v>
      </x:c>
      <x:c r="H520" t="str">
        <x:v>รอสอบเทียบ</x:v>
      </x:c>
      <x:c r="I520" t="str">
        <x:v>รอสอบเทียบ</x:v>
      </x:c>
      <x:c r="J520" t="str">
        <x:v>ไม่มีสัญญา</x:v>
      </x:c>
      <x:c r="K520" t="str">
        <x:v>รอสอบเทียบก่อนพร้อมส่ง</x:v>
      </x:c>
      <x:c r="L520" t="str">
        <x:v>ไม่ได้เช่ายืม = รอสอบเทียบ</x:v>
      </x:c>
      <x:c r="M520" t="str">
        <x:f>IF(OR(H520="ใช้งานไม่ได้",H520="BROKEN",H520="Broken"),"ใช้งานไม่ได้",IF(OR(H520="ไม่พบในรายการ",H520="MISSING",H520="Missing"),"ไม่พบในรายการ",IF(OR(J520="เช่ายืม",J520="IN_USE",J520="IN-USE",H520="เช่ายืม"),"เช่ายืม",IF(H520="พร้อมส่ง","พร้อมส่ง","รอสอบเทียบ"))))</x:f>
        <x:v>รอสอบเทียบ</x:v>
      </x:c>
    </x:row>
    <x:row r="521">
      <x:c r="A521" t="str">
        <x:v>CESR00180</x:v>
      </x:c>
      <x:c r="B521" t="str">
        <x:v>21123060050</x:v>
      </x:c>
      <x:c r="C521" t="str">
        <x:v>BYOND</x:v>
      </x:c>
      <x:c r="D521" t="str">
        <x:v>Sunfusion Semi-2</x:v>
      </x:c>
      <x:c r="E521" t="str">
        <x:v>Sunfusion Semi-2</x:v>
      </x:c>
      <x:c r="F521" t="str">
        <x:v>BYOND_PUMP</x:v>
      </x:c>
      <x:c r="G521" t="str">
        <x:v>รพ.สูงเนิน</x:v>
      </x:c>
      <x:c r="H521" t="str">
        <x:v>เช่ายืม</x:v>
      </x:c>
      <x:c r="I521" t="str">
        <x:v>พร้อมส่ง</x:v>
      </x:c>
      <x:c r="J521" t="str">
        <x:v>เช่ายืม</x:v>
      </x:c>
      <x:c r="K521" t="str">
        <x:v>No action</x:v>
      </x:c>
      <x:c r="L521"/>
      <x:c r="M521" t="str">
        <x:f>IF(OR(H521="ใช้งานไม่ได้",H521="BROKEN",H521="Broken"),"ใช้งานไม่ได้",IF(OR(H521="ไม่พบในรายการ",H521="MISSING",H521="Missing"),"ไม่พบในรายการ",IF(OR(J521="เช่ายืม",J521="IN_USE",J521="IN-USE",H521="เช่ายืม"),"เช่ายืม",IF(H521="พร้อมส่ง","พร้อมส่ง","รอสอบเทียบ"))))</x:f>
        <x:v>เช่ายืม</x:v>
      </x:c>
    </x:row>
    <x:row r="522">
      <x:c r="A522" t="str">
        <x:v>CESR00181</x:v>
      </x:c>
      <x:c r="B522" t="str">
        <x:v>21123060051</x:v>
      </x:c>
      <x:c r="C522" t="str">
        <x:v>BYOND</x:v>
      </x:c>
      <x:c r="D522" t="str">
        <x:v>Sunfusion Semi-2</x:v>
      </x:c>
      <x:c r="E522" t="str">
        <x:v>Sunfusion Semi-2</x:v>
      </x:c>
      <x:c r="F522" t="str">
        <x:v>BYOND_PUMP</x:v>
      </x:c>
      <x:c r="G522" t="str">
        <x:v>Warehouse</x:v>
      </x:c>
      <x:c r="H522" t="str">
        <x:v>รอสอบเทียบ</x:v>
      </x:c>
      <x:c r="I522" t="str">
        <x:v>รอสอบเทียบ</x:v>
      </x:c>
      <x:c r="J522" t="str">
        <x:v>ไม่มีสัญญา</x:v>
      </x:c>
      <x:c r="K522" t="str">
        <x:v>รอสอบเทียบก่อนพร้อมส่ง</x:v>
      </x:c>
      <x:c r="L522" t="str">
        <x:v>ไม่ได้เช่ายืม = รอสอบเทียบ</x:v>
      </x:c>
      <x:c r="M522" t="str">
        <x:f>IF(OR(H522="ใช้งานไม่ได้",H522="BROKEN",H522="Broken"),"ใช้งานไม่ได้",IF(OR(H522="ไม่พบในรายการ",H522="MISSING",H522="Missing"),"ไม่พบในรายการ",IF(OR(J522="เช่ายืม",J522="IN_USE",J522="IN-USE",H522="เช่ายืม"),"เช่ายืม",IF(H522="พร้อมส่ง","พร้อมส่ง","รอสอบเทียบ"))))</x:f>
        <x:v>รอสอบเทียบ</x:v>
      </x:c>
    </x:row>
    <x:row r="523">
      <x:c r="A523" t="str">
        <x:v>CESR00182</x:v>
      </x:c>
      <x:c r="B523" t="str">
        <x:v>21123060052</x:v>
      </x:c>
      <x:c r="C523" t="str">
        <x:v>BYOND</x:v>
      </x:c>
      <x:c r="D523" t="str">
        <x:v>Sunfusion Semi-2</x:v>
      </x:c>
      <x:c r="E523" t="str">
        <x:v>Sunfusion Semi-2</x:v>
      </x:c>
      <x:c r="F523" t="str">
        <x:v>BYOND_PUMP</x:v>
      </x:c>
      <x:c r="G523" t="str">
        <x:v>Warehouse</x:v>
      </x:c>
      <x:c r="H523" t="str">
        <x:v>รอสอบเทียบ</x:v>
      </x:c>
      <x:c r="I523" t="str">
        <x:v>รอสอบเทียบ</x:v>
      </x:c>
      <x:c r="J523" t="str">
        <x:v>ไม่มีสัญญา</x:v>
      </x:c>
      <x:c r="K523" t="str">
        <x:v>รอสอบเทียบก่อนพร้อมส่ง</x:v>
      </x:c>
      <x:c r="L523" t="str">
        <x:v>ไม่ได้เช่ายืม = รอสอบเทียบ</x:v>
      </x:c>
      <x:c r="M523" t="str">
        <x:f>IF(OR(H523="ใช้งานไม่ได้",H523="BROKEN",H523="Broken"),"ใช้งานไม่ได้",IF(OR(H523="ไม่พบในรายการ",H523="MISSING",H523="Missing"),"ไม่พบในรายการ",IF(OR(J523="เช่ายืม",J523="IN_USE",J523="IN-USE",H523="เช่ายืม"),"เช่ายืม",IF(H523="พร้อมส่ง","พร้อมส่ง","รอสอบเทียบ"))))</x:f>
        <x:v>รอสอบเทียบ</x:v>
      </x:c>
    </x:row>
    <x:row r="524">
      <x:c r="A524" t="str">
        <x:v>CESR00183</x:v>
      </x:c>
      <x:c r="B524" t="str">
        <x:v>21123060053</x:v>
      </x:c>
      <x:c r="C524" t="str">
        <x:v>BYOND</x:v>
      </x:c>
      <x:c r="D524" t="str">
        <x:v>Sunfusion Semi-2</x:v>
      </x:c>
      <x:c r="E524" t="str">
        <x:v>Sunfusion Semi-2</x:v>
      </x:c>
      <x:c r="F524" t="str">
        <x:v>BYOND_PUMP</x:v>
      </x:c>
      <x:c r="G524" t="str">
        <x:v>Warehouse</x:v>
      </x:c>
      <x:c r="H524" t="str">
        <x:v>รอสอบเทียบ</x:v>
      </x:c>
      <x:c r="I524" t="str">
        <x:v>รอสอบเทียบ</x:v>
      </x:c>
      <x:c r="J524" t="str">
        <x:v>ไม่มีสัญญา</x:v>
      </x:c>
      <x:c r="K524" t="str">
        <x:v>รอสอบเทียบก่อนพร้อมส่ง</x:v>
      </x:c>
      <x:c r="L524" t="str">
        <x:v>ไม่ได้เช่ายืม = รอสอบเทียบ</x:v>
      </x:c>
      <x:c r="M524" t="str">
        <x:f>IF(OR(H524="ใช้งานไม่ได้",H524="BROKEN",H524="Broken"),"ใช้งานไม่ได้",IF(OR(H524="ไม่พบในรายการ",H524="MISSING",H524="Missing"),"ไม่พบในรายการ",IF(OR(J524="เช่ายืม",J524="IN_USE",J524="IN-USE",H524="เช่ายืม"),"เช่ายืม",IF(H524="พร้อมส่ง","พร้อมส่ง","รอสอบเทียบ"))))</x:f>
        <x:v>รอสอบเทียบ</x:v>
      </x:c>
    </x:row>
    <x:row r="525">
      <x:c r="A525" t="str">
        <x:v>CESR00184</x:v>
      </x:c>
      <x:c r="B525" t="str">
        <x:v>21123060054</x:v>
      </x:c>
      <x:c r="C525" t="str">
        <x:v>BYOND</x:v>
      </x:c>
      <x:c r="D525" t="str">
        <x:v>Sunfusion Semi-2</x:v>
      </x:c>
      <x:c r="E525" t="str">
        <x:v>Sunfusion Semi-2</x:v>
      </x:c>
      <x:c r="F525" t="str">
        <x:v>BYOND_PUMP</x:v>
      </x:c>
      <x:c r="G525" t="str">
        <x:v>Warehouse</x:v>
      </x:c>
      <x:c r="H525" t="str">
        <x:v>รอสอบเทียบ</x:v>
      </x:c>
      <x:c r="I525" t="str">
        <x:v>รอสอบเทียบ</x:v>
      </x:c>
      <x:c r="J525" t="str">
        <x:v>ไม่มีสัญญา</x:v>
      </x:c>
      <x:c r="K525" t="str">
        <x:v>รอสอบเทียบก่อนพร้อมส่ง</x:v>
      </x:c>
      <x:c r="L525" t="str">
        <x:v>ไม่ได้เช่ายืม = รอสอบเทียบ</x:v>
      </x:c>
      <x:c r="M525" t="str">
        <x:f>IF(OR(H525="ใช้งานไม่ได้",H525="BROKEN",H525="Broken"),"ใช้งานไม่ได้",IF(OR(H525="ไม่พบในรายการ",H525="MISSING",H525="Missing"),"ไม่พบในรายการ",IF(OR(J525="เช่ายืม",J525="IN_USE",J525="IN-USE",H525="เช่ายืม"),"เช่ายืม",IF(H525="พร้อมส่ง","พร้อมส่ง","รอสอบเทียบ"))))</x:f>
        <x:v>รอสอบเทียบ</x:v>
      </x:c>
    </x:row>
    <x:row r="526">
      <x:c r="A526" t="str">
        <x:v>CESR00185</x:v>
      </x:c>
      <x:c r="B526" t="str">
        <x:v>21123060055</x:v>
      </x:c>
      <x:c r="C526" t="str">
        <x:v>BYOND</x:v>
      </x:c>
      <x:c r="D526" t="str">
        <x:v>Sunfusion Semi-2</x:v>
      </x:c>
      <x:c r="E526" t="str">
        <x:v>Sunfusion Semi-2</x:v>
      </x:c>
      <x:c r="F526" t="str">
        <x:v>BYOND_PUMP</x:v>
      </x:c>
      <x:c r="G526" t="str">
        <x:v>Warehouse</x:v>
      </x:c>
      <x:c r="H526" t="str">
        <x:v>รอสอบเทียบ</x:v>
      </x:c>
      <x:c r="I526" t="str">
        <x:v>รอสอบเทียบ</x:v>
      </x:c>
      <x:c r="J526" t="str">
        <x:v>ไม่มีสัญญา</x:v>
      </x:c>
      <x:c r="K526" t="str">
        <x:v>รอสอบเทียบก่อนพร้อมส่ง</x:v>
      </x:c>
      <x:c r="L526" t="str">
        <x:v>ไม่ได้เช่ายืม = รอสอบเทียบ</x:v>
      </x:c>
      <x:c r="M526" t="str">
        <x:f>IF(OR(H526="ใช้งานไม่ได้",H526="BROKEN",H526="Broken"),"ใช้งานไม่ได้",IF(OR(H526="ไม่พบในรายการ",H526="MISSING",H526="Missing"),"ไม่พบในรายการ",IF(OR(J526="เช่ายืม",J526="IN_USE",J526="IN-USE",H526="เช่ายืม"),"เช่ายืม",IF(H526="พร้อมส่ง","พร้อมส่ง","รอสอบเทียบ"))))</x:f>
        <x:v>รอสอบเทียบ</x:v>
      </x:c>
    </x:row>
    <x:row r="527">
      <x:c r="A527" t="str">
        <x:v>CESR00186</x:v>
      </x:c>
      <x:c r="B527" t="str">
        <x:v>21123060056</x:v>
      </x:c>
      <x:c r="C527" t="str">
        <x:v>BYOND</x:v>
      </x:c>
      <x:c r="D527" t="str">
        <x:v>Sunfusion Semi-2</x:v>
      </x:c>
      <x:c r="E527" t="str">
        <x:v>Sunfusion Semi-2</x:v>
      </x:c>
      <x:c r="F527" t="str">
        <x:v>BYOND_PUMP</x:v>
      </x:c>
      <x:c r="G527" t="str">
        <x:v>Warehouse</x:v>
      </x:c>
      <x:c r="H527" t="str">
        <x:v>รอสอบเทียบ</x:v>
      </x:c>
      <x:c r="I527" t="str">
        <x:v>รอสอบเทียบ</x:v>
      </x:c>
      <x:c r="J527" t="str">
        <x:v>ไม่มีสัญญา</x:v>
      </x:c>
      <x:c r="K527" t="str">
        <x:v>รอสอบเทียบก่อนพร้อมส่ง</x:v>
      </x:c>
      <x:c r="L527" t="str">
        <x:v>ไม่ได้เช่ายืม = รอสอบเทียบ</x:v>
      </x:c>
      <x:c r="M527" t="str">
        <x:f>IF(OR(H527="ใช้งานไม่ได้",H527="BROKEN",H527="Broken"),"ใช้งานไม่ได้",IF(OR(H527="ไม่พบในรายการ",H527="MISSING",H527="Missing"),"ไม่พบในรายการ",IF(OR(J527="เช่ายืม",J527="IN_USE",J527="IN-USE",H527="เช่ายืม"),"เช่ายืม",IF(H527="พร้อมส่ง","พร้อมส่ง","รอสอบเทียบ"))))</x:f>
        <x:v>รอสอบเทียบ</x:v>
      </x:c>
    </x:row>
    <x:row r="528">
      <x:c r="A528" t="str">
        <x:v>CESR00187</x:v>
      </x:c>
      <x:c r="B528" t="str">
        <x:v>21123060057</x:v>
      </x:c>
      <x:c r="C528" t="str">
        <x:v>BYOND</x:v>
      </x:c>
      <x:c r="D528" t="str">
        <x:v>Sunfusion Semi-2</x:v>
      </x:c>
      <x:c r="E528" t="str">
        <x:v>Sunfusion Semi-2</x:v>
      </x:c>
      <x:c r="F528" t="str">
        <x:v>BYOND_PUMP</x:v>
      </x:c>
      <x:c r="G528" t="str">
        <x:v>Warehouse</x:v>
      </x:c>
      <x:c r="H528" t="str">
        <x:v>รอสอบเทียบ</x:v>
      </x:c>
      <x:c r="I528" t="str">
        <x:v>รอสอบเทียบ</x:v>
      </x:c>
      <x:c r="J528" t="str">
        <x:v>ไม่มีสัญญา</x:v>
      </x:c>
      <x:c r="K528" t="str">
        <x:v>รอสอบเทียบก่อนพร้อมส่ง</x:v>
      </x:c>
      <x:c r="L528" t="str">
        <x:v>ไม่ได้เช่ายืม = รอสอบเทียบ</x:v>
      </x:c>
      <x:c r="M528" t="str">
        <x:f>IF(OR(H528="ใช้งานไม่ได้",H528="BROKEN",H528="Broken"),"ใช้งานไม่ได้",IF(OR(H528="ไม่พบในรายการ",H528="MISSING",H528="Missing"),"ไม่พบในรายการ",IF(OR(J528="เช่ายืม",J528="IN_USE",J528="IN-USE",H528="เช่ายืม"),"เช่ายืม",IF(H528="พร้อมส่ง","พร้อมส่ง","รอสอบเทียบ"))))</x:f>
        <x:v>รอสอบเทียบ</x:v>
      </x:c>
    </x:row>
    <x:row r="529">
      <x:c r="A529" t="str">
        <x:v>CESR00188</x:v>
      </x:c>
      <x:c r="B529" t="str">
        <x:v>21123060058</x:v>
      </x:c>
      <x:c r="C529" t="str">
        <x:v>BYOND</x:v>
      </x:c>
      <x:c r="D529" t="str">
        <x:v>Sunfusion Semi-2</x:v>
      </x:c>
      <x:c r="E529" t="str">
        <x:v>Sunfusion Semi-2</x:v>
      </x:c>
      <x:c r="F529" t="str">
        <x:v>BYOND_PUMP</x:v>
      </x:c>
      <x:c r="G529" t="str">
        <x:v>Witchuta Srisanate</x:v>
      </x:c>
      <x:c r="H529" t="str">
        <x:v>เช่ายืม</x:v>
      </x:c>
      <x:c r="I529" t="str">
        <x:v>พร้อมส่ง</x:v>
      </x:c>
      <x:c r="J529" t="str">
        <x:v>เช่ายืม</x:v>
      </x:c>
      <x:c r="K529" t="str">
        <x:v>อยู่ระหว่างเช่ายืม / เกินกำหนดคืน 312 วัน</x:v>
      </x:c>
      <x:c r="L529"/>
      <x:c r="M529" t="str">
        <x:f>IF(OR(H529="ใช้งานไม่ได้",H529="BROKEN",H529="Broken"),"ใช้งานไม่ได้",IF(OR(H529="ไม่พบในรายการ",H529="MISSING",H529="Missing"),"ไม่พบในรายการ",IF(OR(J529="เช่ายืม",J529="IN_USE",J529="IN-USE",H529="เช่ายืม"),"เช่ายืม",IF(H529="พร้อมส่ง","พร้อมส่ง","รอสอบเทียบ"))))</x:f>
        <x:v>เช่ายืม</x:v>
      </x:c>
    </x:row>
    <x:row r="530">
      <x:c r="A530" t="str">
        <x:v>CESR00189</x:v>
      </x:c>
      <x:c r="B530" t="str">
        <x:v>21123060059</x:v>
      </x:c>
      <x:c r="C530" t="str">
        <x:v>BYOND</x:v>
      </x:c>
      <x:c r="D530" t="str">
        <x:v>Sunfusion Semi-2</x:v>
      </x:c>
      <x:c r="E530" t="str">
        <x:v>Sunfusion Semi-2</x:v>
      </x:c>
      <x:c r="F530" t="str">
        <x:v>BYOND_PUMP</x:v>
      </x:c>
      <x:c r="G530" t="str">
        <x:v>Warehouse</x:v>
      </x:c>
      <x:c r="H530" t="str">
        <x:v>รอสอบเทียบ</x:v>
      </x:c>
      <x:c r="I530" t="str">
        <x:v>รอสอบเทียบ</x:v>
      </x:c>
      <x:c r="J530" t="str">
        <x:v>ไม่มีสัญญา</x:v>
      </x:c>
      <x:c r="K530" t="str">
        <x:v>รอสอบเทียบก่อนพร้อมส่ง</x:v>
      </x:c>
      <x:c r="L530" t="str">
        <x:v>ไม่ได้เช่ายืม = รอสอบเทียบ</x:v>
      </x:c>
      <x:c r="M530" t="str">
        <x:f>IF(OR(H530="ใช้งานไม่ได้",H530="BROKEN",H530="Broken"),"ใช้งานไม่ได้",IF(OR(H530="ไม่พบในรายการ",H530="MISSING",H530="Missing"),"ไม่พบในรายการ",IF(OR(J530="เช่ายืม",J530="IN_USE",J530="IN-USE",H530="เช่ายืม"),"เช่ายืม",IF(H530="พร้อมส่ง","พร้อมส่ง","รอสอบเทียบ"))))</x:f>
        <x:v>รอสอบเทียบ</x:v>
      </x:c>
    </x:row>
    <x:row r="531">
      <x:c r="A531" t="str">
        <x:v>CESR00190</x:v>
      </x:c>
      <x:c r="B531" t="str">
        <x:v>21123060060</x:v>
      </x:c>
      <x:c r="C531" t="str">
        <x:v>BYOND</x:v>
      </x:c>
      <x:c r="D531" t="str">
        <x:v>Sunfusion Semi-2</x:v>
      </x:c>
      <x:c r="E531" t="str">
        <x:v>Sunfusion Semi-2</x:v>
      </x:c>
      <x:c r="F531" t="str">
        <x:v>BYOND_PUMP</x:v>
      </x:c>
      <x:c r="G531" t="str">
        <x:v>Warehouse</x:v>
      </x:c>
      <x:c r="H531" t="str">
        <x:v>รอสอบเทียบ</x:v>
      </x:c>
      <x:c r="I531" t="str">
        <x:v>รอสอบเทียบ</x:v>
      </x:c>
      <x:c r="J531" t="str">
        <x:v>ไม่มีสัญญา</x:v>
      </x:c>
      <x:c r="K531" t="str">
        <x:v>รอสอบเทียบก่อนพร้อมส่ง</x:v>
      </x:c>
      <x:c r="L531" t="str">
        <x:v>ไม่ได้เช่ายืม = รอสอบเทียบ</x:v>
      </x:c>
      <x:c r="M531" t="str">
        <x:f>IF(OR(H531="ใช้งานไม่ได้",H531="BROKEN",H531="Broken"),"ใช้งานไม่ได้",IF(OR(H531="ไม่พบในรายการ",H531="MISSING",H531="Missing"),"ไม่พบในรายการ",IF(OR(J531="เช่ายืม",J531="IN_USE",J531="IN-USE",H531="เช่ายืม"),"เช่ายืม",IF(H531="พร้อมส่ง","พร้อมส่ง","รอสอบเทียบ"))))</x:f>
        <x:v>รอสอบเทียบ</x:v>
      </x:c>
    </x:row>
    <x:row r="532">
      <x:c r="A532" t="str">
        <x:v>CESR00191</x:v>
      </x:c>
      <x:c r="B532" t="str">
        <x:v>21123060061</x:v>
      </x:c>
      <x:c r="C532" t="str">
        <x:v>BYOND</x:v>
      </x:c>
      <x:c r="D532" t="str">
        <x:v>Sunfusion Semi-2</x:v>
      </x:c>
      <x:c r="E532" t="str">
        <x:v>Sunfusion Semi-2</x:v>
      </x:c>
      <x:c r="F532" t="str">
        <x:v>BYOND_PUMP</x:v>
      </x:c>
      <x:c r="G532" t="str">
        <x:v>Warehouse</x:v>
      </x:c>
      <x:c r="H532" t="str">
        <x:v>รอสอบเทียบ</x:v>
      </x:c>
      <x:c r="I532" t="str">
        <x:v>รอสอบเทียบ</x:v>
      </x:c>
      <x:c r="J532" t="str">
        <x:v>ไม่มีสัญญา</x:v>
      </x:c>
      <x:c r="K532" t="str">
        <x:v>รอสอบเทียบก่อนพร้อมส่ง</x:v>
      </x:c>
      <x:c r="L532" t="str">
        <x:v>ไม่ได้เช่ายืม = รอสอบเทียบ</x:v>
      </x:c>
      <x:c r="M532" t="str">
        <x:f>IF(OR(H532="ใช้งานไม่ได้",H532="BROKEN",H532="Broken"),"ใช้งานไม่ได้",IF(OR(H532="ไม่พบในรายการ",H532="MISSING",H532="Missing"),"ไม่พบในรายการ",IF(OR(J532="เช่ายืม",J532="IN_USE",J532="IN-USE",H532="เช่ายืม"),"เช่ายืม",IF(H532="พร้อมส่ง","พร้อมส่ง","รอสอบเทียบ"))))</x:f>
        <x:v>รอสอบเทียบ</x:v>
      </x:c>
    </x:row>
    <x:row r="533">
      <x:c r="A533" t="str">
        <x:v>CESR00192</x:v>
      </x:c>
      <x:c r="B533" t="str">
        <x:v>21123060062</x:v>
      </x:c>
      <x:c r="C533" t="str">
        <x:v>BYOND</x:v>
      </x:c>
      <x:c r="D533" t="str">
        <x:v>Sunfusion Semi-2</x:v>
      </x:c>
      <x:c r="E533" t="str">
        <x:v>Sunfusion Semi-2</x:v>
      </x:c>
      <x:c r="F533" t="str">
        <x:v>BYOND_PUMP</x:v>
      </x:c>
      <x:c r="G533" t="str">
        <x:v>Warehouse</x:v>
      </x:c>
      <x:c r="H533" t="str">
        <x:v>รอสอบเทียบ</x:v>
      </x:c>
      <x:c r="I533" t="str">
        <x:v>รอสอบเทียบ</x:v>
      </x:c>
      <x:c r="J533" t="str">
        <x:v>ไม่มีสัญญา</x:v>
      </x:c>
      <x:c r="K533" t="str">
        <x:v>รอสอบเทียบก่อนพร้อมส่ง</x:v>
      </x:c>
      <x:c r="L533" t="str">
        <x:v>ไม่ได้เช่ายืม = รอสอบเทียบ</x:v>
      </x:c>
      <x:c r="M533" t="str">
        <x:f>IF(OR(H533="ใช้งานไม่ได้",H533="BROKEN",H533="Broken"),"ใช้งานไม่ได้",IF(OR(H533="ไม่พบในรายการ",H533="MISSING",H533="Missing"),"ไม่พบในรายการ",IF(OR(J533="เช่ายืม",J533="IN_USE",J533="IN-USE",H533="เช่ายืม"),"เช่ายืม",IF(H533="พร้อมส่ง","พร้อมส่ง","รอสอบเทียบ"))))</x:f>
        <x:v>รอสอบเทียบ</x:v>
      </x:c>
    </x:row>
    <x:row r="534">
      <x:c r="A534" t="str">
        <x:v>CESR00193</x:v>
      </x:c>
      <x:c r="B534" t="str">
        <x:v>21123060063</x:v>
      </x:c>
      <x:c r="C534" t="str">
        <x:v>BYOND</x:v>
      </x:c>
      <x:c r="D534" t="str">
        <x:v>Sunfusion Semi-2</x:v>
      </x:c>
      <x:c r="E534" t="str">
        <x:v>Sunfusion Semi-2</x:v>
      </x:c>
      <x:c r="F534" t="str">
        <x:v>BYOND_PUMP</x:v>
      </x:c>
      <x:c r="G534" t="str">
        <x:v>GJ</x:v>
      </x:c>
      <x:c r="H534" t="str">
        <x:v>เช่ายืม</x:v>
      </x:c>
      <x:c r="I534" t="str">
        <x:v>พร้อมส่ง</x:v>
      </x:c>
      <x:c r="J534" t="str">
        <x:v>เช่ายืม</x:v>
      </x:c>
      <x:c r="K534" t="str">
        <x:v>อยู่ระหว่างเช่ายืม</x:v>
      </x:c>
      <x:c r="L534"/>
      <x:c r="M534" t="str">
        <x:f>IF(OR(H534="ใช้งานไม่ได้",H534="BROKEN",H534="Broken"),"ใช้งานไม่ได้",IF(OR(H534="ไม่พบในรายการ",H534="MISSING",H534="Missing"),"ไม่พบในรายการ",IF(OR(J534="เช่ายืม",J534="IN_USE",J534="IN-USE",H534="เช่ายืม"),"เช่ายืม",IF(H534="พร้อมส่ง","พร้อมส่ง","รอสอบเทียบ"))))</x:f>
        <x:v>เช่ายืม</x:v>
      </x:c>
    </x:row>
    <x:row r="535">
      <x:c r="A535" t="str">
        <x:v>CESR00194</x:v>
      </x:c>
      <x:c r="B535" t="str">
        <x:v>21123060064</x:v>
      </x:c>
      <x:c r="C535" t="str">
        <x:v>BYOND</x:v>
      </x:c>
      <x:c r="D535" t="str">
        <x:v>Sunfusion Semi-2</x:v>
      </x:c>
      <x:c r="E535" t="str">
        <x:v>Sunfusion Semi-2</x:v>
      </x:c>
      <x:c r="F535" t="str">
        <x:v>BYOND_PUMP</x:v>
      </x:c>
      <x:c r="G535" t="str">
        <x:v>Warehouse</x:v>
      </x:c>
      <x:c r="H535" t="str">
        <x:v>รอสอบเทียบ</x:v>
      </x:c>
      <x:c r="I535" t="str">
        <x:v>รอสอบเทียบ</x:v>
      </x:c>
      <x:c r="J535" t="str">
        <x:v>ไม่มีสัญญา</x:v>
      </x:c>
      <x:c r="K535" t="str">
        <x:v>รอสอบเทียบก่อนพร้อมส่ง</x:v>
      </x:c>
      <x:c r="L535" t="str">
        <x:v>ไม่ได้เช่ายืม = รอสอบเทียบ</x:v>
      </x:c>
      <x:c r="M535" t="str">
        <x:f>IF(OR(H535="ใช้งานไม่ได้",H535="BROKEN",H535="Broken"),"ใช้งานไม่ได้",IF(OR(H535="ไม่พบในรายการ",H535="MISSING",H535="Missing"),"ไม่พบในรายการ",IF(OR(J535="เช่ายืม",J535="IN_USE",J535="IN-USE",H535="เช่ายืม"),"เช่ายืม",IF(H535="พร้อมส่ง","พร้อมส่ง","รอสอบเทียบ"))))</x:f>
        <x:v>รอสอบเทียบ</x:v>
      </x:c>
    </x:row>
    <x:row r="536">
      <x:c r="A536" t="str">
        <x:v>CESR00195</x:v>
      </x:c>
      <x:c r="B536" t="str">
        <x:v>21123060065</x:v>
      </x:c>
      <x:c r="C536" t="str">
        <x:v>BYOND</x:v>
      </x:c>
      <x:c r="D536" t="str">
        <x:v>Sunfusion Semi-2</x:v>
      </x:c>
      <x:c r="E536" t="str">
        <x:v>Sunfusion Semi-2</x:v>
      </x:c>
      <x:c r="F536" t="str">
        <x:v>BYOND_PUMP</x:v>
      </x:c>
      <x:c r="G536" t="str">
        <x:v>Warehouse</x:v>
      </x:c>
      <x:c r="H536" t="str">
        <x:v>รอสอบเทียบ</x:v>
      </x:c>
      <x:c r="I536" t="str">
        <x:v>รอสอบเทียบ</x:v>
      </x:c>
      <x:c r="J536" t="str">
        <x:v>ไม่มีสัญญา</x:v>
      </x:c>
      <x:c r="K536" t="str">
        <x:v>รอสอบเทียบก่อนพร้อมส่ง</x:v>
      </x:c>
      <x:c r="L536" t="str">
        <x:v>ไม่ได้เช่ายืม = รอสอบเทียบ</x:v>
      </x:c>
      <x:c r="M536" t="str">
        <x:f>IF(OR(H536="ใช้งานไม่ได้",H536="BROKEN",H536="Broken"),"ใช้งานไม่ได้",IF(OR(H536="ไม่พบในรายการ",H536="MISSING",H536="Missing"),"ไม่พบในรายการ",IF(OR(J536="เช่ายืม",J536="IN_USE",J536="IN-USE",H536="เช่ายืม"),"เช่ายืม",IF(H536="พร้อมส่ง","พร้อมส่ง","รอสอบเทียบ"))))</x:f>
        <x:v>รอสอบเทียบ</x:v>
      </x:c>
    </x:row>
    <x:row r="537">
      <x:c r="A537" t="str">
        <x:v>CESR00196</x:v>
      </x:c>
      <x:c r="B537" t="str">
        <x:v>21123060066</x:v>
      </x:c>
      <x:c r="C537" t="str">
        <x:v>BYOND</x:v>
      </x:c>
      <x:c r="D537" t="str">
        <x:v>Sunfusion Semi-2</x:v>
      </x:c>
      <x:c r="E537" t="str">
        <x:v>Sunfusion Semi-2</x:v>
      </x:c>
      <x:c r="F537" t="str">
        <x:v>BYOND_PUMP</x:v>
      </x:c>
      <x:c r="G537" t="str">
        <x:v>Warehouse</x:v>
      </x:c>
      <x:c r="H537" t="str">
        <x:v>รอสอบเทียบ</x:v>
      </x:c>
      <x:c r="I537" t="str">
        <x:v>รอสอบเทียบ</x:v>
      </x:c>
      <x:c r="J537" t="str">
        <x:v>ไม่มีสัญญา</x:v>
      </x:c>
      <x:c r="K537" t="str">
        <x:v>รอสอบเทียบก่อนพร้อมส่ง</x:v>
      </x:c>
      <x:c r="L537" t="str">
        <x:v>ไม่ได้เช่ายืม = รอสอบเทียบ</x:v>
      </x:c>
      <x:c r="M537" t="str">
        <x:f>IF(OR(H537="ใช้งานไม่ได้",H537="BROKEN",H537="Broken"),"ใช้งานไม่ได้",IF(OR(H537="ไม่พบในรายการ",H537="MISSING",H537="Missing"),"ไม่พบในรายการ",IF(OR(J537="เช่ายืม",J537="IN_USE",J537="IN-USE",H537="เช่ายืม"),"เช่ายืม",IF(H537="พร้อมส่ง","พร้อมส่ง","รอสอบเทียบ"))))</x:f>
        <x:v>รอสอบเทียบ</x:v>
      </x:c>
    </x:row>
    <x:row r="538">
      <x:c r="A538" t="str">
        <x:v>CESR00197</x:v>
      </x:c>
      <x:c r="B538" t="str">
        <x:v>21123060067</x:v>
      </x:c>
      <x:c r="C538" t="str">
        <x:v>BYOND</x:v>
      </x:c>
      <x:c r="D538" t="str">
        <x:v>Sunfusion Semi-2</x:v>
      </x:c>
      <x:c r="E538" t="str">
        <x:v>Sunfusion Semi-2</x:v>
      </x:c>
      <x:c r="F538" t="str">
        <x:v>BYOND_PUMP</x:v>
      </x:c>
      <x:c r="G538" t="str">
        <x:v>Warehouse</x:v>
      </x:c>
      <x:c r="H538" t="str">
        <x:v>รอสอบเทียบ</x:v>
      </x:c>
      <x:c r="I538" t="str">
        <x:v>รอสอบเทียบ</x:v>
      </x:c>
      <x:c r="J538" t="str">
        <x:v>ไม่มีสัญญา</x:v>
      </x:c>
      <x:c r="K538" t="str">
        <x:v>รอสอบเทียบก่อนพร้อมส่ง</x:v>
      </x:c>
      <x:c r="L538" t="str">
        <x:v>ไม่ได้เช่ายืม = รอสอบเทียบ</x:v>
      </x:c>
      <x:c r="M538" t="str">
        <x:f>IF(OR(H538="ใช้งานไม่ได้",H538="BROKEN",H538="Broken"),"ใช้งานไม่ได้",IF(OR(H538="ไม่พบในรายการ",H538="MISSING",H538="Missing"),"ไม่พบในรายการ",IF(OR(J538="เช่ายืม",J538="IN_USE",J538="IN-USE",H538="เช่ายืม"),"เช่ายืม",IF(H538="พร้อมส่ง","พร้อมส่ง","รอสอบเทียบ"))))</x:f>
        <x:v>รอสอบเทียบ</x:v>
      </x:c>
    </x:row>
    <x:row r="539">
      <x:c r="A539" t="str">
        <x:v>CESR00198</x:v>
      </x:c>
      <x:c r="B539" t="str">
        <x:v>21123060068</x:v>
      </x:c>
      <x:c r="C539" t="str">
        <x:v>BYOND</x:v>
      </x:c>
      <x:c r="D539" t="str">
        <x:v>Sunfusion Semi-2</x:v>
      </x:c>
      <x:c r="E539" t="str">
        <x:v>Sunfusion Semi-2</x:v>
      </x:c>
      <x:c r="F539" t="str">
        <x:v>BYOND_PUMP</x:v>
      </x:c>
      <x:c r="G539" t="str">
        <x:v>Warehouse</x:v>
      </x:c>
      <x:c r="H539" t="str">
        <x:v>รอสอบเทียบ</x:v>
      </x:c>
      <x:c r="I539" t="str">
        <x:v>รอสอบเทียบ</x:v>
      </x:c>
      <x:c r="J539" t="str">
        <x:v>ไม่มีสัญญา</x:v>
      </x:c>
      <x:c r="K539" t="str">
        <x:v>รอสอบเทียบก่อนพร้อมส่ง</x:v>
      </x:c>
      <x:c r="L539" t="str">
        <x:v>ไม่ได้เช่ายืม = รอสอบเทียบ</x:v>
      </x:c>
      <x:c r="M539" t="str">
        <x:f>IF(OR(H539="ใช้งานไม่ได้",H539="BROKEN",H539="Broken"),"ใช้งานไม่ได้",IF(OR(H539="ไม่พบในรายการ",H539="MISSING",H539="Missing"),"ไม่พบในรายการ",IF(OR(J539="เช่ายืม",J539="IN_USE",J539="IN-USE",H539="เช่ายืม"),"เช่ายืม",IF(H539="พร้อมส่ง","พร้อมส่ง","รอสอบเทียบ"))))</x:f>
        <x:v>รอสอบเทียบ</x:v>
      </x:c>
    </x:row>
    <x:row r="540">
      <x:c r="A540" t="str">
        <x:v>CESR00199</x:v>
      </x:c>
      <x:c r="B540" t="str">
        <x:v>21123060069</x:v>
      </x:c>
      <x:c r="C540" t="str">
        <x:v>BYOND</x:v>
      </x:c>
      <x:c r="D540" t="str">
        <x:v>Sunfusion Semi-2</x:v>
      </x:c>
      <x:c r="E540" t="str">
        <x:v>Sunfusion Semi-2</x:v>
      </x:c>
      <x:c r="F540" t="str">
        <x:v>BYOND_PUMP</x:v>
      </x:c>
      <x:c r="G540" t="str">
        <x:v>Warehouse</x:v>
      </x:c>
      <x:c r="H540" t="str">
        <x:v>รอสอบเทียบ</x:v>
      </x:c>
      <x:c r="I540" t="str">
        <x:v>รอสอบเทียบ</x:v>
      </x:c>
      <x:c r="J540" t="str">
        <x:v>ไม่มีสัญญา</x:v>
      </x:c>
      <x:c r="K540" t="str">
        <x:v>รอสอบเทียบก่อนพร้อมส่ง</x:v>
      </x:c>
      <x:c r="L540" t="str">
        <x:v>ไม่ได้เช่ายืม = รอสอบเทียบ</x:v>
      </x:c>
      <x:c r="M540" t="str">
        <x:f>IF(OR(H540="ใช้งานไม่ได้",H540="BROKEN",H540="Broken"),"ใช้งานไม่ได้",IF(OR(H540="ไม่พบในรายการ",H540="MISSING",H540="Missing"),"ไม่พบในรายการ",IF(OR(J540="เช่ายืม",J540="IN_USE",J540="IN-USE",H540="เช่ายืม"),"เช่ายืม",IF(H540="พร้อมส่ง","พร้อมส่ง","รอสอบเทียบ"))))</x:f>
        <x:v>รอสอบเทียบ</x:v>
      </x:c>
    </x:row>
    <x:row r="541">
      <x:c r="A541" t="str">
        <x:v>CESR00200</x:v>
      </x:c>
      <x:c r="B541" t="str">
        <x:v>21123060070</x:v>
      </x:c>
      <x:c r="C541" t="str">
        <x:v>BYOND</x:v>
      </x:c>
      <x:c r="D541" t="str">
        <x:v>Sunfusion Semi-2</x:v>
      </x:c>
      <x:c r="E541" t="str">
        <x:v>Sunfusion Semi-2</x:v>
      </x:c>
      <x:c r="F541" t="str">
        <x:v>BYOND_PUMP</x:v>
      </x:c>
      <x:c r="G541" t="str">
        <x:v>Warehouse</x:v>
      </x:c>
      <x:c r="H541" t="str">
        <x:v>รอสอบเทียบ</x:v>
      </x:c>
      <x:c r="I541" t="str">
        <x:v>รอสอบเทียบ</x:v>
      </x:c>
      <x:c r="J541" t="str">
        <x:v>ไม่มีสัญญา</x:v>
      </x:c>
      <x:c r="K541" t="str">
        <x:v>รอสอบเทียบก่อนพร้อมส่ง</x:v>
      </x:c>
      <x:c r="L541" t="str">
        <x:v>ไม่ได้เช่ายืม = รอสอบเทียบ</x:v>
      </x:c>
      <x:c r="M541" t="str">
        <x:f>IF(OR(H541="ใช้งานไม่ได้",H541="BROKEN",H541="Broken"),"ใช้งานไม่ได้",IF(OR(H541="ไม่พบในรายการ",H541="MISSING",H541="Missing"),"ไม่พบในรายการ",IF(OR(J541="เช่ายืม",J541="IN_USE",J541="IN-USE",H541="เช่ายืม"),"เช่ายืม",IF(H541="พร้อมส่ง","พร้อมส่ง","รอสอบเทียบ"))))</x:f>
        <x:v>รอสอบเทียบ</x:v>
      </x:c>
    </x:row>
    <x:row r="542">
      <x:c r="A542" t="str">
        <x:v>CESR00201</x:v>
      </x:c>
      <x:c r="B542" t="str">
        <x:v>21123060072</x:v>
      </x:c>
      <x:c r="C542" t="str">
        <x:v>BYOND</x:v>
      </x:c>
      <x:c r="D542" t="str">
        <x:v>Sunfusion Semi-2</x:v>
      </x:c>
      <x:c r="E542" t="str">
        <x:v>Sunfusion Semi-2</x:v>
      </x:c>
      <x:c r="F542" t="str">
        <x:v>BYOND_PUMP</x:v>
      </x:c>
      <x:c r="G542" t="str">
        <x:v>Warehouse</x:v>
      </x:c>
      <x:c r="H542" t="str">
        <x:v>รอสอบเทียบ</x:v>
      </x:c>
      <x:c r="I542" t="str">
        <x:v>รอสอบเทียบ</x:v>
      </x:c>
      <x:c r="J542" t="str">
        <x:v>ไม่มีสัญญา</x:v>
      </x:c>
      <x:c r="K542" t="str">
        <x:v>รอสอบเทียบก่อนพร้อมส่ง</x:v>
      </x:c>
      <x:c r="L542" t="str">
        <x:v>ไม่ได้เช่ายืม = รอสอบเทียบ</x:v>
      </x:c>
      <x:c r="M542" t="str">
        <x:f>IF(OR(H542="ใช้งานไม่ได้",H542="BROKEN",H542="Broken"),"ใช้งานไม่ได้",IF(OR(H542="ไม่พบในรายการ",H542="MISSING",H542="Missing"),"ไม่พบในรายการ",IF(OR(J542="เช่ายืม",J542="IN_USE",J542="IN-USE",H542="เช่ายืม"),"เช่ายืม",IF(H542="พร้อมส่ง","พร้อมส่ง","รอสอบเทียบ"))))</x:f>
        <x:v>รอสอบเทียบ</x:v>
      </x:c>
    </x:row>
    <x:row r="543">
      <x:c r="A543" t="str">
        <x:v>CESR00202</x:v>
      </x:c>
      <x:c r="B543" t="str">
        <x:v>21123060073</x:v>
      </x:c>
      <x:c r="C543" t="str">
        <x:v>BYOND</x:v>
      </x:c>
      <x:c r="D543" t="str">
        <x:v>Sunfusion Semi-2</x:v>
      </x:c>
      <x:c r="E543" t="str">
        <x:v>Sunfusion Semi-2</x:v>
      </x:c>
      <x:c r="F543" t="str">
        <x:v>BYOND_PUMP</x:v>
      </x:c>
      <x:c r="G543" t="str">
        <x:v>GJ</x:v>
      </x:c>
      <x:c r="H543" t="str">
        <x:v>เช่ายืม</x:v>
      </x:c>
      <x:c r="I543" t="str">
        <x:v>พร้อมส่ง</x:v>
      </x:c>
      <x:c r="J543" t="str">
        <x:v>เช่ายืม</x:v>
      </x:c>
      <x:c r="K543" t="str">
        <x:v>อยู่ระหว่างเช่ายืม</x:v>
      </x:c>
      <x:c r="L543"/>
      <x:c r="M543" t="str">
        <x:f>IF(OR(H543="ใช้งานไม่ได้",H543="BROKEN",H543="Broken"),"ใช้งานไม่ได้",IF(OR(H543="ไม่พบในรายการ",H543="MISSING",H543="Missing"),"ไม่พบในรายการ",IF(OR(J543="เช่ายืม",J543="IN_USE",J543="IN-USE",H543="เช่ายืม"),"เช่ายืม",IF(H543="พร้อมส่ง","พร้อมส่ง","รอสอบเทียบ"))))</x:f>
        <x:v>เช่ายืม</x:v>
      </x:c>
    </x:row>
    <x:row r="544">
      <x:c r="A544" t="str">
        <x:v>CESR00203</x:v>
      </x:c>
      <x:c r="B544" t="str">
        <x:v>21123060075</x:v>
      </x:c>
      <x:c r="C544" t="str">
        <x:v>BYOND</x:v>
      </x:c>
      <x:c r="D544" t="str">
        <x:v>Sunfusion Semi-2</x:v>
      </x:c>
      <x:c r="E544" t="str">
        <x:v>Sunfusion Semi-2</x:v>
      </x:c>
      <x:c r="F544" t="str">
        <x:v>BYOND_PUMP</x:v>
      </x:c>
      <x:c r="G544" t="str">
        <x:v>GJ</x:v>
      </x:c>
      <x:c r="H544" t="str">
        <x:v>เช่ายืม</x:v>
      </x:c>
      <x:c r="I544" t="str">
        <x:v>พร้อมส่ง</x:v>
      </x:c>
      <x:c r="J544" t="str">
        <x:v>เช่ายืม</x:v>
      </x:c>
      <x:c r="K544" t="str">
        <x:v>อยู่ระหว่างเช่ายืม</x:v>
      </x:c>
      <x:c r="L544"/>
      <x:c r="M544" t="str">
        <x:f>IF(OR(H544="ใช้งานไม่ได้",H544="BROKEN",H544="Broken"),"ใช้งานไม่ได้",IF(OR(H544="ไม่พบในรายการ",H544="MISSING",H544="Missing"),"ไม่พบในรายการ",IF(OR(J544="เช่ายืม",J544="IN_USE",J544="IN-USE",H544="เช่ายืม"),"เช่ายืม",IF(H544="พร้อมส่ง","พร้อมส่ง","รอสอบเทียบ"))))</x:f>
        <x:v>เช่ายืม</x:v>
      </x:c>
    </x:row>
    <x:row r="545">
      <x:c r="A545" t="str">
        <x:v>CESR00204</x:v>
      </x:c>
      <x:c r="B545" t="str">
        <x:v>21123060076</x:v>
      </x:c>
      <x:c r="C545" t="str">
        <x:v>BYOND</x:v>
      </x:c>
      <x:c r="D545" t="str">
        <x:v>Sunfusion Semi-2</x:v>
      </x:c>
      <x:c r="E545" t="str">
        <x:v>Sunfusion Semi-2</x:v>
      </x:c>
      <x:c r="F545" t="str">
        <x:v>BYOND_PUMP</x:v>
      </x:c>
      <x:c r="G545" t="str">
        <x:v>GJ</x:v>
      </x:c>
      <x:c r="H545" t="str">
        <x:v>เช่ายืม</x:v>
      </x:c>
      <x:c r="I545" t="str">
        <x:v>พร้อมส่ง</x:v>
      </x:c>
      <x:c r="J545" t="str">
        <x:v>เช่ายืม</x:v>
      </x:c>
      <x:c r="K545" t="str">
        <x:v>อยู่ระหว่างเช่ายืม</x:v>
      </x:c>
      <x:c r="L545"/>
      <x:c r="M545" t="str">
        <x:f>IF(OR(H545="ใช้งานไม่ได้",H545="BROKEN",H545="Broken"),"ใช้งานไม่ได้",IF(OR(H545="ไม่พบในรายการ",H545="MISSING",H545="Missing"),"ไม่พบในรายการ",IF(OR(J545="เช่ายืม",J545="IN_USE",J545="IN-USE",H545="เช่ายืม"),"เช่ายืม",IF(H545="พร้อมส่ง","พร้อมส่ง","รอสอบเทียบ"))))</x:f>
        <x:v>เช่ายืม</x:v>
      </x:c>
    </x:row>
    <x:row r="546">
      <x:c r="A546" t="str">
        <x:v>CESR00205</x:v>
      </x:c>
      <x:c r="B546" t="str">
        <x:v>21123060077</x:v>
      </x:c>
      <x:c r="C546" t="str">
        <x:v>BYOND</x:v>
      </x:c>
      <x:c r="D546" t="str">
        <x:v>Sunfusion Semi-2</x:v>
      </x:c>
      <x:c r="E546" t="str">
        <x:v>Sunfusion Semi-2</x:v>
      </x:c>
      <x:c r="F546" t="str">
        <x:v>BYOND_PUMP</x:v>
      </x:c>
      <x:c r="G546" t="str">
        <x:v>Warehouse</x:v>
      </x:c>
      <x:c r="H546" t="str">
        <x:v>รอสอบเทียบ</x:v>
      </x:c>
      <x:c r="I546" t="str">
        <x:v>รอสอบเทียบ</x:v>
      </x:c>
      <x:c r="J546" t="str">
        <x:v>ไม่มีสัญญา</x:v>
      </x:c>
      <x:c r="K546" t="str">
        <x:v>รอสอบเทียบก่อนพร้อมส่ง</x:v>
      </x:c>
      <x:c r="L546" t="str">
        <x:v>ไม่ได้เช่ายืม = รอสอบเทียบ</x:v>
      </x:c>
      <x:c r="M546" t="str">
        <x:f>IF(OR(H546="ใช้งานไม่ได้",H546="BROKEN",H546="Broken"),"ใช้งานไม่ได้",IF(OR(H546="ไม่พบในรายการ",H546="MISSING",H546="Missing"),"ไม่พบในรายการ",IF(OR(J546="เช่ายืม",J546="IN_USE",J546="IN-USE",H546="เช่ายืม"),"เช่ายืม",IF(H546="พร้อมส่ง","พร้อมส่ง","รอสอบเทียบ"))))</x:f>
        <x:v>รอสอบเทียบ</x:v>
      </x:c>
    </x:row>
    <x:row r="547">
      <x:c r="A547" t="str">
        <x:v>CESR00206</x:v>
      </x:c>
      <x:c r="B547" t="str">
        <x:v>21123060078</x:v>
      </x:c>
      <x:c r="C547" t="str">
        <x:v>BYOND</x:v>
      </x:c>
      <x:c r="D547" t="str">
        <x:v>Sunfusion Semi-2</x:v>
      </x:c>
      <x:c r="E547" t="str">
        <x:v>Sunfusion Semi-2</x:v>
      </x:c>
      <x:c r="F547" t="str">
        <x:v>BYOND_PUMP</x:v>
      </x:c>
      <x:c r="G547" t="str">
        <x:v>GJ</x:v>
      </x:c>
      <x:c r="H547" t="str">
        <x:v>เช่ายืม</x:v>
      </x:c>
      <x:c r="I547" t="str">
        <x:v>พร้อมส่ง</x:v>
      </x:c>
      <x:c r="J547" t="str">
        <x:v>เช่ายืม</x:v>
      </x:c>
      <x:c r="K547" t="str">
        <x:v>อยู่ระหว่างเช่ายืม</x:v>
      </x:c>
      <x:c r="L547"/>
      <x:c r="M547" t="str">
        <x:f>IF(OR(H547="ใช้งานไม่ได้",H547="BROKEN",H547="Broken"),"ใช้งานไม่ได้",IF(OR(H547="ไม่พบในรายการ",H547="MISSING",H547="Missing"),"ไม่พบในรายการ",IF(OR(J547="เช่ายืม",J547="IN_USE",J547="IN-USE",H547="เช่ายืม"),"เช่ายืม",IF(H547="พร้อมส่ง","พร้อมส่ง","รอสอบเทียบ"))))</x:f>
        <x:v>เช่ายืม</x:v>
      </x:c>
    </x:row>
    <x:row r="548">
      <x:c r="A548" t="str">
        <x:v>CESR00207</x:v>
      </x:c>
      <x:c r="B548" t="str">
        <x:v>21123060079</x:v>
      </x:c>
      <x:c r="C548" t="str">
        <x:v>BYOND</x:v>
      </x:c>
      <x:c r="D548" t="str">
        <x:v>Sunfusion Semi-2</x:v>
      </x:c>
      <x:c r="E548" t="str">
        <x:v>Sunfusion Semi-2</x:v>
      </x:c>
      <x:c r="F548" t="str">
        <x:v>BYOND_PUMP</x:v>
      </x:c>
      <x:c r="G548" t="str">
        <x:v>GJ</x:v>
      </x:c>
      <x:c r="H548" t="str">
        <x:v>เช่ายืม</x:v>
      </x:c>
      <x:c r="I548" t="str">
        <x:v>พร้อมส่ง</x:v>
      </x:c>
      <x:c r="J548" t="str">
        <x:v>เช่ายืม</x:v>
      </x:c>
      <x:c r="K548" t="str">
        <x:v>อยู่ระหว่างเช่ายืม</x:v>
      </x:c>
      <x:c r="L548"/>
      <x:c r="M548" t="str">
        <x:f>IF(OR(H548="ใช้งานไม่ได้",H548="BROKEN",H548="Broken"),"ใช้งานไม่ได้",IF(OR(H548="ไม่พบในรายการ",H548="MISSING",H548="Missing"),"ไม่พบในรายการ",IF(OR(J548="เช่ายืม",J548="IN_USE",J548="IN-USE",H548="เช่ายืม"),"เช่ายืม",IF(H548="พร้อมส่ง","พร้อมส่ง","รอสอบเทียบ"))))</x:f>
        <x:v>เช่ายืม</x:v>
      </x:c>
    </x:row>
    <x:row r="549">
      <x:c r="A549" t="str">
        <x:v>CESR00208</x:v>
      </x:c>
      <x:c r="B549" t="str">
        <x:v>21123060080</x:v>
      </x:c>
      <x:c r="C549" t="str">
        <x:v>BYOND</x:v>
      </x:c>
      <x:c r="D549" t="str">
        <x:v>Sunfusion Semi-2</x:v>
      </x:c>
      <x:c r="E549" t="str">
        <x:v>Sunfusion Semi-2</x:v>
      </x:c>
      <x:c r="F549" t="str">
        <x:v>BYOND_PUMP</x:v>
      </x:c>
      <x:c r="G549" t="str">
        <x:v>Warehouse</x:v>
      </x:c>
      <x:c r="H549" t="str">
        <x:v>รอสอบเทียบ</x:v>
      </x:c>
      <x:c r="I549" t="str">
        <x:v>รอสอบเทียบ</x:v>
      </x:c>
      <x:c r="J549" t="str">
        <x:v>ไม่มีสัญญา</x:v>
      </x:c>
      <x:c r="K549" t="str">
        <x:v>รอสอบเทียบก่อนพร้อมส่ง</x:v>
      </x:c>
      <x:c r="L549" t="str">
        <x:v>ไม่ได้เช่ายืม = รอสอบเทียบ</x:v>
      </x:c>
      <x:c r="M549" t="str">
        <x:f>IF(OR(H549="ใช้งานไม่ได้",H549="BROKEN",H549="Broken"),"ใช้งานไม่ได้",IF(OR(H549="ไม่พบในรายการ",H549="MISSING",H549="Missing"),"ไม่พบในรายการ",IF(OR(J549="เช่ายืม",J549="IN_USE",J549="IN-USE",H549="เช่ายืม"),"เช่ายืม",IF(H549="พร้อมส่ง","พร้อมส่ง","รอสอบเทียบ"))))</x:f>
        <x:v>รอสอบเทียบ</x:v>
      </x:c>
    </x:row>
    <x:row r="550">
      <x:c r="A550" t="str">
        <x:v>CESR00209</x:v>
      </x:c>
      <x:c r="B550" t="str">
        <x:v>21123060081</x:v>
      </x:c>
      <x:c r="C550" t="str">
        <x:v>BYOND</x:v>
      </x:c>
      <x:c r="D550" t="str">
        <x:v>Sunfusion Semi-2</x:v>
      </x:c>
      <x:c r="E550" t="str">
        <x:v>Sunfusion Semi-2</x:v>
      </x:c>
      <x:c r="F550" t="str">
        <x:v>BYOND_PUMP</x:v>
      </x:c>
      <x:c r="G550" t="str">
        <x:v>Warehouse</x:v>
      </x:c>
      <x:c r="H550" t="str">
        <x:v>รอสอบเทียบ</x:v>
      </x:c>
      <x:c r="I550" t="str">
        <x:v>รอสอบเทียบ</x:v>
      </x:c>
      <x:c r="J550" t="str">
        <x:v>ไม่มีสัญญา</x:v>
      </x:c>
      <x:c r="K550" t="str">
        <x:v>รอสอบเทียบก่อนพร้อมส่ง</x:v>
      </x:c>
      <x:c r="L550" t="str">
        <x:v>ไม่ได้เช่ายืม = รอสอบเทียบ</x:v>
      </x:c>
      <x:c r="M550" t="str">
        <x:f>IF(OR(H550="ใช้งานไม่ได้",H550="BROKEN",H550="Broken"),"ใช้งานไม่ได้",IF(OR(H550="ไม่พบในรายการ",H550="MISSING",H550="Missing"),"ไม่พบในรายการ",IF(OR(J550="เช่ายืม",J550="IN_USE",J550="IN-USE",H550="เช่ายืม"),"เช่ายืม",IF(H550="พร้อมส่ง","พร้อมส่ง","รอสอบเทียบ"))))</x:f>
        <x:v>รอสอบเทียบ</x:v>
      </x:c>
    </x:row>
    <x:row r="551">
      <x:c r="A551" t="str">
        <x:v>CESR00210</x:v>
      </x:c>
      <x:c r="B551" t="str">
        <x:v>21123060082</x:v>
      </x:c>
      <x:c r="C551" t="str">
        <x:v>BYOND</x:v>
      </x:c>
      <x:c r="D551" t="str">
        <x:v>Sunfusion Semi-2</x:v>
      </x:c>
      <x:c r="E551" t="str">
        <x:v>Sunfusion Semi-2</x:v>
      </x:c>
      <x:c r="F551" t="str">
        <x:v>BYOND_PUMP</x:v>
      </x:c>
      <x:c r="G551" t="str">
        <x:v>Warehouse</x:v>
      </x:c>
      <x:c r="H551" t="str">
        <x:v>รอสอบเทียบ</x:v>
      </x:c>
      <x:c r="I551" t="str">
        <x:v>รอสอบเทียบ</x:v>
      </x:c>
      <x:c r="J551" t="str">
        <x:v>ไม่มีสัญญา</x:v>
      </x:c>
      <x:c r="K551" t="str">
        <x:v>รอสอบเทียบก่อนพร้อมส่ง</x:v>
      </x:c>
      <x:c r="L551" t="str">
        <x:v>ไม่ได้เช่ายืม = รอสอบเทียบ</x:v>
      </x:c>
      <x:c r="M551" t="str">
        <x:f>IF(OR(H551="ใช้งานไม่ได้",H551="BROKEN",H551="Broken"),"ใช้งานไม่ได้",IF(OR(H551="ไม่พบในรายการ",H551="MISSING",H551="Missing"),"ไม่พบในรายการ",IF(OR(J551="เช่ายืม",J551="IN_USE",J551="IN-USE",H551="เช่ายืม"),"เช่ายืม",IF(H551="พร้อมส่ง","พร้อมส่ง","รอสอบเทียบ"))))</x:f>
        <x:v>รอสอบเทียบ</x:v>
      </x:c>
    </x:row>
    <x:row r="552">
      <x:c r="A552" t="str">
        <x:v>CESR00211</x:v>
      </x:c>
      <x:c r="B552" t="str">
        <x:v>21123060083</x:v>
      </x:c>
      <x:c r="C552" t="str">
        <x:v>BYOND</x:v>
      </x:c>
      <x:c r="D552" t="str">
        <x:v>Sunfusion Semi-2</x:v>
      </x:c>
      <x:c r="E552" t="str">
        <x:v>Sunfusion Semi-2</x:v>
      </x:c>
      <x:c r="F552" t="str">
        <x:v>BYOND_PUMP</x:v>
      </x:c>
      <x:c r="G552" t="str">
        <x:v>Warehouse</x:v>
      </x:c>
      <x:c r="H552" t="str">
        <x:v>รอสอบเทียบ</x:v>
      </x:c>
      <x:c r="I552" t="str">
        <x:v>รอสอบเทียบ</x:v>
      </x:c>
      <x:c r="J552" t="str">
        <x:v>ไม่มีสัญญา</x:v>
      </x:c>
      <x:c r="K552" t="str">
        <x:v>รอสอบเทียบก่อนพร้อมส่ง</x:v>
      </x:c>
      <x:c r="L552" t="str">
        <x:v>ไม่ได้เช่ายืม = รอสอบเทียบ</x:v>
      </x:c>
      <x:c r="M552" t="str">
        <x:f>IF(OR(H552="ใช้งานไม่ได้",H552="BROKEN",H552="Broken"),"ใช้งานไม่ได้",IF(OR(H552="ไม่พบในรายการ",H552="MISSING",H552="Missing"),"ไม่พบในรายการ",IF(OR(J552="เช่ายืม",J552="IN_USE",J552="IN-USE",H552="เช่ายืม"),"เช่ายืม",IF(H552="พร้อมส่ง","พร้อมส่ง","รอสอบเทียบ"))))</x:f>
        <x:v>รอสอบเทียบ</x:v>
      </x:c>
    </x:row>
    <x:row r="553">
      <x:c r="A553" t="str">
        <x:v>CESR00212</x:v>
      </x:c>
      <x:c r="B553" t="str">
        <x:v>21123060085</x:v>
      </x:c>
      <x:c r="C553" t="str">
        <x:v>BYOND</x:v>
      </x:c>
      <x:c r="D553" t="str">
        <x:v>Sunfusion Semi-2</x:v>
      </x:c>
      <x:c r="E553" t="str">
        <x:v>Sunfusion Semi-2</x:v>
      </x:c>
      <x:c r="F553" t="str">
        <x:v>BYOND_PUMP</x:v>
      </x:c>
      <x:c r="G553" t="str">
        <x:v>GJ</x:v>
      </x:c>
      <x:c r="H553" t="str">
        <x:v>เช่ายืม</x:v>
      </x:c>
      <x:c r="I553" t="str">
        <x:v>พร้อมส่ง</x:v>
      </x:c>
      <x:c r="J553" t="str">
        <x:v>เช่ายืม</x:v>
      </x:c>
      <x:c r="K553" t="str">
        <x:v>อยู่ระหว่างเช่ายืม</x:v>
      </x:c>
      <x:c r="L553"/>
      <x:c r="M553" t="str">
        <x:f>IF(OR(H553="ใช้งานไม่ได้",H553="BROKEN",H553="Broken"),"ใช้งานไม่ได้",IF(OR(H553="ไม่พบในรายการ",H553="MISSING",H553="Missing"),"ไม่พบในรายการ",IF(OR(J553="เช่ายืม",J553="IN_USE",J553="IN-USE",H553="เช่ายืม"),"เช่ายืม",IF(H553="พร้อมส่ง","พร้อมส่ง","รอสอบเทียบ"))))</x:f>
        <x:v>เช่ายืม</x:v>
      </x:c>
    </x:row>
    <x:row r="554">
      <x:c r="A554" t="str">
        <x:v>CESR00213</x:v>
      </x:c>
      <x:c r="B554" t="str">
        <x:v>21123060086</x:v>
      </x:c>
      <x:c r="C554" t="str">
        <x:v>BYOND</x:v>
      </x:c>
      <x:c r="D554" t="str">
        <x:v>Sunfusion Semi-2</x:v>
      </x:c>
      <x:c r="E554" t="str">
        <x:v>Sunfusion Semi-2</x:v>
      </x:c>
      <x:c r="F554" t="str">
        <x:v>BYOND_PUMP</x:v>
      </x:c>
      <x:c r="G554" t="str">
        <x:v>Warehouse</x:v>
      </x:c>
      <x:c r="H554" t="str">
        <x:v>รอสอบเทียบ</x:v>
      </x:c>
      <x:c r="I554" t="str">
        <x:v>รอสอบเทียบ</x:v>
      </x:c>
      <x:c r="J554" t="str">
        <x:v>ไม่มีสัญญา</x:v>
      </x:c>
      <x:c r="K554" t="str">
        <x:v>รอสอบเทียบก่อนพร้อมส่ง</x:v>
      </x:c>
      <x:c r="L554" t="str">
        <x:v>ไม่ได้เช่ายืม = รอสอบเทียบ</x:v>
      </x:c>
      <x:c r="M554" t="str">
        <x:f>IF(OR(H554="ใช้งานไม่ได้",H554="BROKEN",H554="Broken"),"ใช้งานไม่ได้",IF(OR(H554="ไม่พบในรายการ",H554="MISSING",H554="Missing"),"ไม่พบในรายการ",IF(OR(J554="เช่ายืม",J554="IN_USE",J554="IN-USE",H554="เช่ายืม"),"เช่ายืม",IF(H554="พร้อมส่ง","พร้อมส่ง","รอสอบเทียบ"))))</x:f>
        <x:v>รอสอบเทียบ</x:v>
      </x:c>
    </x:row>
    <x:row r="555">
      <x:c r="A555" t="str">
        <x:v>CESR00214</x:v>
      </x:c>
      <x:c r="B555" t="str">
        <x:v>21123060087</x:v>
      </x:c>
      <x:c r="C555" t="str">
        <x:v>BYOND</x:v>
      </x:c>
      <x:c r="D555" t="str">
        <x:v>Sunfusion Semi-2</x:v>
      </x:c>
      <x:c r="E555" t="str">
        <x:v>Sunfusion Semi-2</x:v>
      </x:c>
      <x:c r="F555" t="str">
        <x:v>BYOND_PUMP</x:v>
      </x:c>
      <x:c r="G555" t="str">
        <x:v>GJ</x:v>
      </x:c>
      <x:c r="H555" t="str">
        <x:v>เช่ายืม</x:v>
      </x:c>
      <x:c r="I555" t="str">
        <x:v>พร้อมส่ง</x:v>
      </x:c>
      <x:c r="J555" t="str">
        <x:v>เช่ายืม</x:v>
      </x:c>
      <x:c r="K555" t="str">
        <x:v>อยู่ระหว่างเช่ายืม</x:v>
      </x:c>
      <x:c r="L555"/>
      <x:c r="M555" t="str">
        <x:f>IF(OR(H555="ใช้งานไม่ได้",H555="BROKEN",H555="Broken"),"ใช้งานไม่ได้",IF(OR(H555="ไม่พบในรายการ",H555="MISSING",H555="Missing"),"ไม่พบในรายการ",IF(OR(J555="เช่ายืม",J555="IN_USE",J555="IN-USE",H555="เช่ายืม"),"เช่ายืม",IF(H555="พร้อมส่ง","พร้อมส่ง","รอสอบเทียบ"))))</x:f>
        <x:v>เช่ายืม</x:v>
      </x:c>
    </x:row>
    <x:row r="556">
      <x:c r="A556" t="str">
        <x:v>CESR00215</x:v>
      </x:c>
      <x:c r="B556" t="str">
        <x:v>21123060088</x:v>
      </x:c>
      <x:c r="C556" t="str">
        <x:v>BYOND</x:v>
      </x:c>
      <x:c r="D556" t="str">
        <x:v>Sunfusion Semi-2</x:v>
      </x:c>
      <x:c r="E556" t="str">
        <x:v>Sunfusion Semi-2</x:v>
      </x:c>
      <x:c r="F556" t="str">
        <x:v>BYOND_PUMP</x:v>
      </x:c>
      <x:c r="G556" t="str">
        <x:v>Warehouse</x:v>
      </x:c>
      <x:c r="H556" t="str">
        <x:v>รอสอบเทียบ</x:v>
      </x:c>
      <x:c r="I556" t="str">
        <x:v>รอสอบเทียบ</x:v>
      </x:c>
      <x:c r="J556" t="str">
        <x:v>ไม่มีสัญญา</x:v>
      </x:c>
      <x:c r="K556" t="str">
        <x:v>รอสอบเทียบก่อนพร้อมส่ง</x:v>
      </x:c>
      <x:c r="L556" t="str">
        <x:v>ไม่ได้เช่ายืม = รอสอบเทียบ</x:v>
      </x:c>
      <x:c r="M556" t="str">
        <x:f>IF(OR(H556="ใช้งานไม่ได้",H556="BROKEN",H556="Broken"),"ใช้งานไม่ได้",IF(OR(H556="ไม่พบในรายการ",H556="MISSING",H556="Missing"),"ไม่พบในรายการ",IF(OR(J556="เช่ายืม",J556="IN_USE",J556="IN-USE",H556="เช่ายืม"),"เช่ายืม",IF(H556="พร้อมส่ง","พร้อมส่ง","รอสอบเทียบ"))))</x:f>
        <x:v>รอสอบเทียบ</x:v>
      </x:c>
    </x:row>
    <x:row r="557">
      <x:c r="A557" t="str">
        <x:v>CESR00216</x:v>
      </x:c>
      <x:c r="B557" t="str">
        <x:v>21123060089</x:v>
      </x:c>
      <x:c r="C557" t="str">
        <x:v>BYOND</x:v>
      </x:c>
      <x:c r="D557" t="str">
        <x:v>Sunfusion Semi-2</x:v>
      </x:c>
      <x:c r="E557" t="str">
        <x:v>Sunfusion Semi-2</x:v>
      </x:c>
      <x:c r="F557" t="str">
        <x:v>BYOND_PUMP</x:v>
      </x:c>
      <x:c r="G557" t="str">
        <x:v>Warehouse</x:v>
      </x:c>
      <x:c r="H557" t="str">
        <x:v>รอสอบเทียบ</x:v>
      </x:c>
      <x:c r="I557" t="str">
        <x:v>รอสอบเทียบ</x:v>
      </x:c>
      <x:c r="J557" t="str">
        <x:v>ไม่มีสัญญา</x:v>
      </x:c>
      <x:c r="K557" t="str">
        <x:v>รอสอบเทียบก่อนพร้อมส่ง</x:v>
      </x:c>
      <x:c r="L557" t="str">
        <x:v>ไม่ได้เช่ายืม = รอสอบเทียบ</x:v>
      </x:c>
      <x:c r="M557" t="str">
        <x:f>IF(OR(H557="ใช้งานไม่ได้",H557="BROKEN",H557="Broken"),"ใช้งานไม่ได้",IF(OR(H557="ไม่พบในรายการ",H557="MISSING",H557="Missing"),"ไม่พบในรายการ",IF(OR(J557="เช่ายืม",J557="IN_USE",J557="IN-USE",H557="เช่ายืม"),"เช่ายืม",IF(H557="พร้อมส่ง","พร้อมส่ง","รอสอบเทียบ"))))</x:f>
        <x:v>รอสอบเทียบ</x:v>
      </x:c>
    </x:row>
    <x:row r="558">
      <x:c r="A558" t="str">
        <x:v>CESR00217</x:v>
      </x:c>
      <x:c r="B558" t="str">
        <x:v>21123060090</x:v>
      </x:c>
      <x:c r="C558" t="str">
        <x:v>BYOND</x:v>
      </x:c>
      <x:c r="D558" t="str">
        <x:v>Sunfusion Semi-2</x:v>
      </x:c>
      <x:c r="E558" t="str">
        <x:v>Sunfusion Semi-2</x:v>
      </x:c>
      <x:c r="F558" t="str">
        <x:v>BYOND_PUMP</x:v>
      </x:c>
      <x:c r="G558" t="str">
        <x:v>GJ</x:v>
      </x:c>
      <x:c r="H558" t="str">
        <x:v>เช่ายืม</x:v>
      </x:c>
      <x:c r="I558" t="str">
        <x:v>พร้อมส่ง</x:v>
      </x:c>
      <x:c r="J558" t="str">
        <x:v>เช่ายืม</x:v>
      </x:c>
      <x:c r="K558" t="str">
        <x:v>อยู่ระหว่างเช่ายืม</x:v>
      </x:c>
      <x:c r="L558"/>
      <x:c r="M558" t="str">
        <x:f>IF(OR(H558="ใช้งานไม่ได้",H558="BROKEN",H558="Broken"),"ใช้งานไม่ได้",IF(OR(H558="ไม่พบในรายการ",H558="MISSING",H558="Missing"),"ไม่พบในรายการ",IF(OR(J558="เช่ายืม",J558="IN_USE",J558="IN-USE",H558="เช่ายืม"),"เช่ายืม",IF(H558="พร้อมส่ง","พร้อมส่ง","รอสอบเทียบ"))))</x:f>
        <x:v>เช่ายืม</x:v>
      </x:c>
    </x:row>
    <x:row r="559">
      <x:c r="A559" t="str">
        <x:v>CESR00218</x:v>
      </x:c>
      <x:c r="B559" t="str">
        <x:v>21123060091</x:v>
      </x:c>
      <x:c r="C559" t="str">
        <x:v>BYOND</x:v>
      </x:c>
      <x:c r="D559" t="str">
        <x:v>Sunfusion Semi-2</x:v>
      </x:c>
      <x:c r="E559" t="str">
        <x:v>Sunfusion Semi-2</x:v>
      </x:c>
      <x:c r="F559" t="str">
        <x:v>BYOND_PUMP</x:v>
      </x:c>
      <x:c r="G559" t="str">
        <x:v>GJ</x:v>
      </x:c>
      <x:c r="H559" t="str">
        <x:v>เช่ายืม</x:v>
      </x:c>
      <x:c r="I559" t="str">
        <x:v>พร้อมส่ง</x:v>
      </x:c>
      <x:c r="J559" t="str">
        <x:v>เช่ายืม</x:v>
      </x:c>
      <x:c r="K559" t="str">
        <x:v>อยู่ระหว่างเช่ายืม</x:v>
      </x:c>
      <x:c r="L559"/>
      <x:c r="M559" t="str">
        <x:f>IF(OR(H559="ใช้งานไม่ได้",H559="BROKEN",H559="Broken"),"ใช้งานไม่ได้",IF(OR(H559="ไม่พบในรายการ",H559="MISSING",H559="Missing"),"ไม่พบในรายการ",IF(OR(J559="เช่ายืม",J559="IN_USE",J559="IN-USE",H559="เช่ายืม"),"เช่ายืม",IF(H559="พร้อมส่ง","พร้อมส่ง","รอสอบเทียบ"))))</x:f>
        <x:v>เช่ายืม</x:v>
      </x:c>
    </x:row>
    <x:row r="560">
      <x:c r="A560" t="str">
        <x:v>CESR00219</x:v>
      </x:c>
      <x:c r="B560" t="str">
        <x:v>21123060092</x:v>
      </x:c>
      <x:c r="C560" t="str">
        <x:v>BYOND</x:v>
      </x:c>
      <x:c r="D560" t="str">
        <x:v>Sunfusion Semi-2</x:v>
      </x:c>
      <x:c r="E560" t="str">
        <x:v>Sunfusion Semi-2</x:v>
      </x:c>
      <x:c r="F560" t="str">
        <x:v>BYOND_PUMP</x:v>
      </x:c>
      <x:c r="G560" t="str">
        <x:v>GJ</x:v>
      </x:c>
      <x:c r="H560" t="str">
        <x:v>เช่ายืม</x:v>
      </x:c>
      <x:c r="I560" t="str">
        <x:v>พร้อมส่ง</x:v>
      </x:c>
      <x:c r="J560" t="str">
        <x:v>เช่ายืม</x:v>
      </x:c>
      <x:c r="K560" t="str">
        <x:v>อยู่ระหว่างเช่ายืม</x:v>
      </x:c>
      <x:c r="L560"/>
      <x:c r="M560" t="str">
        <x:f>IF(OR(H560="ใช้งานไม่ได้",H560="BROKEN",H560="Broken"),"ใช้งานไม่ได้",IF(OR(H560="ไม่พบในรายการ",H560="MISSING",H560="Missing"),"ไม่พบในรายการ",IF(OR(J560="เช่ายืม",J560="IN_USE",J560="IN-USE",H560="เช่ายืม"),"เช่ายืม",IF(H560="พร้อมส่ง","พร้อมส่ง","รอสอบเทียบ"))))</x:f>
        <x:v>เช่ายืม</x:v>
      </x:c>
    </x:row>
    <x:row r="561">
      <x:c r="A561" t="str">
        <x:v>CESR00220</x:v>
      </x:c>
      <x:c r="B561" t="str">
        <x:v>21123060094</x:v>
      </x:c>
      <x:c r="C561" t="str">
        <x:v>BYOND</x:v>
      </x:c>
      <x:c r="D561" t="str">
        <x:v>Sunfusion Semi-2</x:v>
      </x:c>
      <x:c r="E561" t="str">
        <x:v>Sunfusion Semi-2</x:v>
      </x:c>
      <x:c r="F561" t="str">
        <x:v>BYOND_PUMP</x:v>
      </x:c>
      <x:c r="G561" t="str">
        <x:v>GJ</x:v>
      </x:c>
      <x:c r="H561" t="str">
        <x:v>เช่ายืม</x:v>
      </x:c>
      <x:c r="I561" t="str">
        <x:v>พร้อมส่ง</x:v>
      </x:c>
      <x:c r="J561" t="str">
        <x:v>เช่ายืม</x:v>
      </x:c>
      <x:c r="K561" t="str">
        <x:v>อยู่ระหว่างเช่ายืม</x:v>
      </x:c>
      <x:c r="L561"/>
      <x:c r="M561" t="str">
        <x:f>IF(OR(H561="ใช้งานไม่ได้",H561="BROKEN",H561="Broken"),"ใช้งานไม่ได้",IF(OR(H561="ไม่พบในรายการ",H561="MISSING",H561="Missing"),"ไม่พบในรายการ",IF(OR(J561="เช่ายืม",J561="IN_USE",J561="IN-USE",H561="เช่ายืม"),"เช่ายืม",IF(H561="พร้อมส่ง","พร้อมส่ง","รอสอบเทียบ"))))</x:f>
        <x:v>เช่ายืม</x:v>
      </x:c>
    </x:row>
    <x:row r="562">
      <x:c r="A562" t="str">
        <x:v>CESR00226</x:v>
      </x:c>
      <x:c r="B562" t="str">
        <x:v>21123050050</x:v>
      </x:c>
      <x:c r="C562" t="str">
        <x:v>BYOND</x:v>
      </x:c>
      <x:c r="D562" t="str">
        <x:v>Sunfusion Semi-2</x:v>
      </x:c>
      <x:c r="E562" t="str">
        <x:v>Sunfusion Semi-2</x:v>
      </x:c>
      <x:c r="F562" t="str">
        <x:v>BYOND_PUMP</x:v>
      </x:c>
      <x:c r="G562" t="str">
        <x:v>GJ</x:v>
      </x:c>
      <x:c r="H562" t="str">
        <x:v>เช่ายืม</x:v>
      </x:c>
      <x:c r="I562" t="str">
        <x:v>พร้อมส่ง</x:v>
      </x:c>
      <x:c r="J562" t="str">
        <x:v>เช่ายืม</x:v>
      </x:c>
      <x:c r="K562" t="str">
        <x:v>อยู่ระหว่างเช่ายืม</x:v>
      </x:c>
      <x:c r="L562"/>
      <x:c r="M562" t="str">
        <x:f>IF(OR(H562="ใช้งานไม่ได้",H562="BROKEN",H562="Broken"),"ใช้งานไม่ได้",IF(OR(H562="ไม่พบในรายการ",H562="MISSING",H562="Missing"),"ไม่พบในรายการ",IF(OR(J562="เช่ายืม",J562="IN_USE",J562="IN-USE",H562="เช่ายืม"),"เช่ายืม",IF(H562="พร้อมส่ง","พร้อมส่ง","รอสอบเทียบ"))))</x:f>
        <x:v>เช่ายืม</x:v>
      </x:c>
    </x:row>
    <x:row r="563">
      <x:c r="A563" t="str">
        <x:v>CESR00227</x:v>
      </x:c>
      <x:c r="B563" t="str">
        <x:v>21123050087</x:v>
      </x:c>
      <x:c r="C563" t="str">
        <x:v>BYOND</x:v>
      </x:c>
      <x:c r="D563" t="str">
        <x:v>Sunfusion Semi-2</x:v>
      </x:c>
      <x:c r="E563" t="str">
        <x:v>Sunfusion Semi-2</x:v>
      </x:c>
      <x:c r="F563" t="str">
        <x:v>BYOND_PUMP</x:v>
      </x:c>
      <x:c r="G563" t="str">
        <x:v>GJ</x:v>
      </x:c>
      <x:c r="H563" t="str">
        <x:v>เช่ายืม</x:v>
      </x:c>
      <x:c r="I563" t="str">
        <x:v>พร้อมส่ง</x:v>
      </x:c>
      <x:c r="J563" t="str">
        <x:v>เช่ายืม</x:v>
      </x:c>
      <x:c r="K563" t="str">
        <x:v>อยู่ระหว่างเช่ายืม</x:v>
      </x:c>
      <x:c r="L563"/>
      <x:c r="M563" t="str">
        <x:f>IF(OR(H563="ใช้งานไม่ได้",H563="BROKEN",H563="Broken"),"ใช้งานไม่ได้",IF(OR(H563="ไม่พบในรายการ",H563="MISSING",H563="Missing"),"ไม่พบในรายการ",IF(OR(J563="เช่ายืม",J563="IN_USE",J563="IN-USE",H563="เช่ายืม"),"เช่ายืม",IF(H563="พร้อมส่ง","พร้อมส่ง","รอสอบเทียบ"))))</x:f>
        <x:v>เช่ายืม</x:v>
      </x:c>
    </x:row>
    <x:row r="564">
      <x:c r="A564" t="str">
        <x:v>CESR00228</x:v>
      </x:c>
      <x:c r="B564" t="str">
        <x:v>21123050114</x:v>
      </x:c>
      <x:c r="C564" t="str">
        <x:v>BYOND</x:v>
      </x:c>
      <x:c r="D564" t="str">
        <x:v>Sunfusion Semi-2</x:v>
      </x:c>
      <x:c r="E564" t="str">
        <x:v>Sunfusion Semi-2</x:v>
      </x:c>
      <x:c r="F564" t="str">
        <x:v>BYOND_PUMP</x:v>
      </x:c>
      <x:c r="G564" t="str">
        <x:v>รพ.สูงเนิน</x:v>
      </x:c>
      <x:c r="H564" t="str">
        <x:v>เช่ายืม</x:v>
      </x:c>
      <x:c r="I564" t="str">
        <x:v>พร้อมส่ง</x:v>
      </x:c>
      <x:c r="J564" t="str">
        <x:v>เช่ายืม</x:v>
      </x:c>
      <x:c r="K564" t="str">
        <x:v>No action</x:v>
      </x:c>
      <x:c r="L564"/>
      <x:c r="M564" t="str">
        <x:f>IF(OR(H564="ใช้งานไม่ได้",H564="BROKEN",H564="Broken"),"ใช้งานไม่ได้",IF(OR(H564="ไม่พบในรายการ",H564="MISSING",H564="Missing"),"ไม่พบในรายการ",IF(OR(J564="เช่ายืม",J564="IN_USE",J564="IN-USE",H564="เช่ายืม"),"เช่ายืม",IF(H564="พร้อมส่ง","พร้อมส่ง","รอสอบเทียบ"))))</x:f>
        <x:v>เช่ายืม</x:v>
      </x:c>
    </x:row>
    <x:row r="565">
      <x:c r="A565" t="str">
        <x:v>CESR00229</x:v>
      </x:c>
      <x:c r="B565" t="str">
        <x:v>21123060084</x:v>
      </x:c>
      <x:c r="C565" t="str">
        <x:v>BYOND</x:v>
      </x:c>
      <x:c r="D565" t="str">
        <x:v>Sunfusion Semi-2</x:v>
      </x:c>
      <x:c r="E565" t="str">
        <x:v>Sunfusion Semi-2</x:v>
      </x:c>
      <x:c r="F565" t="str">
        <x:v>BYOND_PUMP</x:v>
      </x:c>
      <x:c r="G565" t="str">
        <x:v>Warehouse</x:v>
      </x:c>
      <x:c r="H565" t="str">
        <x:v>รอสอบเทียบ</x:v>
      </x:c>
      <x:c r="I565" t="str">
        <x:v>รอสอบเทียบ</x:v>
      </x:c>
      <x:c r="J565" t="str">
        <x:v>ไม่มีสัญญา</x:v>
      </x:c>
      <x:c r="K565" t="str">
        <x:v>รอสอบเทียบก่อนพร้อมส่ง</x:v>
      </x:c>
      <x:c r="L565" t="str">
        <x:v>ไม่ได้เช่ายืม = รอสอบเทียบ</x:v>
      </x:c>
      <x:c r="M565" t="str">
        <x:f>IF(OR(H565="ใช้งานไม่ได้",H565="BROKEN",H565="Broken"),"ใช้งานไม่ได้",IF(OR(H565="ไม่พบในรายการ",H565="MISSING",H565="Missing"),"ไม่พบในรายการ",IF(OR(J565="เช่ายืม",J565="IN_USE",J565="IN-USE",H565="เช่ายืม"),"เช่ายืม",IF(H565="พร้อมส่ง","พร้อมส่ง","รอสอบเทียบ"))))</x:f>
        <x:v>รอสอบเทียบ</x:v>
      </x:c>
    </x:row>
    <x:row r="566">
      <x:c r="A566" t="str">
        <x:v>CESR00230</x:v>
      </x:c>
      <x:c r="B566" t="str">
        <x:v>21123060093</x:v>
      </x:c>
      <x:c r="C566" t="str">
        <x:v>BYOND</x:v>
      </x:c>
      <x:c r="D566" t="str">
        <x:v>Sunfusion Semi-2</x:v>
      </x:c>
      <x:c r="E566" t="str">
        <x:v>Sunfusion Semi-2</x:v>
      </x:c>
      <x:c r="F566" t="str">
        <x:v>BYOND_PUMP</x:v>
      </x:c>
      <x:c r="G566" t="str">
        <x:v>GJ</x:v>
      </x:c>
      <x:c r="H566" t="str">
        <x:v>เช่ายืม</x:v>
      </x:c>
      <x:c r="I566" t="str">
        <x:v>พร้อมส่ง</x:v>
      </x:c>
      <x:c r="J566" t="str">
        <x:v>เช่ายืม</x:v>
      </x:c>
      <x:c r="K566" t="str">
        <x:v>อยู่ระหว่างเช่ายืม</x:v>
      </x:c>
      <x:c r="L566"/>
      <x:c r="M566" t="str">
        <x:f>IF(OR(H566="ใช้งานไม่ได้",H566="BROKEN",H566="Broken"),"ใช้งานไม่ได้",IF(OR(H566="ไม่พบในรายการ",H566="MISSING",H566="Missing"),"ไม่พบในรายการ",IF(OR(J566="เช่ายืม",J566="IN_USE",J566="IN-USE",H566="เช่ายืม"),"เช่ายืม",IF(H566="พร้อมส่ง","พร้อมส่ง","รอสอบเทียบ"))))</x:f>
        <x:v>เช่ายืม</x:v>
      </x:c>
    </x:row>
  </x:sheetData>
  <x:conditionalFormatting sqref="M2:M566">
    <x:cfRule type="expression" dxfId="0" priority="1">
      <x:formula>M2="พร้อมส่ง"</x:formula>
    </x:cfRule>
    <x:cfRule type="expression" dxfId="1" priority="2">
      <x:formula>M2="รอสอบเทียบ"</x:formula>
    </x:cfRule>
    <x:cfRule type="expression" dxfId="2" priority="3">
      <x:formula>M2="เช่ายืม"</x:formula>
    </x:cfRule>
    <x:cfRule type="expression" dxfId="3" priority="4">
      <x:formula>M2="ใช้งานไม่ได้"</x:formula>
    </x:cfRule>
    <x:cfRule type="expression" dxfId="4" priority="5">
      <x:formula>M2="ไม่พบในรายการ"</x:formula>
    </x:cfRule>
  </x:conditionalFormatting>
  <x:dataValidations count="2">
    <x:dataValidation type="list" sqref="H2:H566">
      <x:formula1>Lists!$A$2:$A$6</x:formula1>
    </x:dataValidation>
    <x:dataValidation type="list" sqref="J2:J566">
      <x:formula1>Lists!$B$2:$B$3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99b5d175854c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12" t="str">
        <x:v>rental_id</x:v>
      </x:c>
      <x:c r="B1" s="12" t="str">
        <x:v>id_code</x:v>
      </x:c>
      <x:c r="C1" s="12" t="str">
        <x:v>serial_number</x:v>
      </x:c>
      <x:c r="D1" s="12" t="str">
        <x:v>brand</x:v>
      </x:c>
      <x:c r="E1" s="12" t="str">
        <x:v>model</x:v>
      </x:c>
      <x:c r="F1" s="12" t="str">
        <x:v>borrower</x:v>
      </x:c>
      <x:c r="G1" s="12" t="str">
        <x:v>location</x:v>
      </x:c>
      <x:c r="H1" s="12" t="str">
        <x:v>borrow_date</x:v>
      </x:c>
      <x:c r="I1" s="12" t="str">
        <x:v>duration_month</x:v>
      </x:c>
      <x:c r="J1" s="12" t="str">
        <x:v>expected_return_date</x:v>
      </x:c>
      <x:c r="K1" s="12" t="str">
        <x:v>return_date</x:v>
      </x:c>
      <x:c r="L1" s="12" t="str">
        <x:v>due_date</x:v>
      </x:c>
      <x:c r="M1" s="12" t="str">
        <x:v>days_remaining</x:v>
      </x:c>
      <x:c r="N1" s="12" t="str">
        <x:v>overdue_days</x:v>
      </x:c>
      <x:c r="O1" s="12" t="str">
        <x:v>rental_status</x:v>
      </x:c>
      <x:c r="P1" s="12" t="str">
        <x:v>final_status_after_rental</x:v>
      </x:c>
      <x:c r="Q1" s="12" t="str">
        <x:v>action_required</x:v>
      </x:c>
      <x:c r="R1" s="12" t="str">
        <x:v>note</x:v>
      </x:c>
      <x:c r="S1" s="12" t="str">
        <x:v>source_row</x:v>
      </x:c>
    </x:row>
    <x:row r="2">
      <x:c r="A2" t="str">
        <x:v>R0001</x:v>
      </x:c>
      <x:c r="B2" t="str">
        <x:v>CESR00062</x:v>
      </x:c>
      <x:c r="C2" t="str">
        <x:v>21123050070</x:v>
      </x:c>
      <x:c r="D2" t="str">
        <x:v>BYOND</x:v>
      </x:c>
      <x:c r="E2" t="str">
        <x:v>Sunfusion Semi-2</x:v>
      </x:c>
      <x:c r="F2" t="str">
        <x:v>DEMO ver sales</x:v>
      </x:c>
      <x:c r="G2" t="str">
        <x:v>Duangjai Boontanom</x:v>
      </x:c>
      <x:c r="H2" t="str">
        <x:v>2025-02-21</x:v>
      </x:c>
      <x:c r="I2" t="str">
        <x:v>5</x:v>
      </x:c>
      <x:c r="J2" t="str">
        <x:v>2025-07-21</x:v>
      </x:c>
      <x:c r="K2"/>
      <x:c r="L2" t="str">
        <x:v>2025-07-21</x:v>
      </x:c>
      <x:c r="M2" t="str">
        <x:v>-312.0</x:v>
      </x:c>
      <x:c r="N2" t="str">
        <x:v>312.0</x:v>
      </x:c>
      <x:c r="O2" t="str">
        <x:v>เช่ายืม</x:v>
      </x:c>
      <x:c r="P2" t="str">
        <x:v>เช่ายืม</x:v>
      </x:c>
      <x:c r="Q2" t="str">
        <x:v>อยู่ระหว่างเช่ายืม / เกินกำหนดคืน 312 วัน</x:v>
      </x:c>
      <x:c r="R2"/>
      <x:c r="S2" t="str">
        <x:v>2.0</x:v>
      </x:c>
    </x:row>
    <x:row r="3">
      <x:c r="A3" t="str">
        <x:v>R0002</x:v>
      </x:c>
      <x:c r="B3" t="str">
        <x:v>CESR00082</x:v>
      </x:c>
      <x:c r="C3" t="str">
        <x:v>21123050093</x:v>
      </x:c>
      <x:c r="D3" t="str">
        <x:v>BYOND</x:v>
      </x:c>
      <x:c r="E3" t="str">
        <x:v>Sunfusion Semi-2</x:v>
      </x:c>
      <x:c r="F3" t="str">
        <x:v>DEMO ver sales</x:v>
      </x:c>
      <x:c r="G3" t="str">
        <x:v>Supachock Nutapibal</x:v>
      </x:c>
      <x:c r="H3" t="str">
        <x:v>2025-02-21</x:v>
      </x:c>
      <x:c r="I3" t="str">
        <x:v>5</x:v>
      </x:c>
      <x:c r="J3" t="str">
        <x:v>2025-07-21</x:v>
      </x:c>
      <x:c r="K3"/>
      <x:c r="L3" t="str">
        <x:v>2025-07-21</x:v>
      </x:c>
      <x:c r="M3" t="str">
        <x:v>-312.0</x:v>
      </x:c>
      <x:c r="N3" t="str">
        <x:v>312.0</x:v>
      </x:c>
      <x:c r="O3" t="str">
        <x:v>เช่ายืม</x:v>
      </x:c>
      <x:c r="P3" t="str">
        <x:v>เช่ายืม</x:v>
      </x:c>
      <x:c r="Q3" t="str">
        <x:v>อยู่ระหว่างเช่ายืม / เกินกำหนดคืน 312 วัน</x:v>
      </x:c>
      <x:c r="R3"/>
      <x:c r="S3" t="str">
        <x:v>3.0</x:v>
      </x:c>
    </x:row>
    <x:row r="4">
      <x:c r="A4" t="str">
        <x:v>R0003</x:v>
      </x:c>
      <x:c r="B4" t="str">
        <x:v>CESR00188</x:v>
      </x:c>
      <x:c r="C4" t="str">
        <x:v>21123060058</x:v>
      </x:c>
      <x:c r="D4" t="str">
        <x:v>BYOND</x:v>
      </x:c>
      <x:c r="E4" t="str">
        <x:v>Sunfusion Semi-2</x:v>
      </x:c>
      <x:c r="F4" t="str">
        <x:v>DEMO ver sales</x:v>
      </x:c>
      <x:c r="G4" t="str">
        <x:v>Witchuta Srisanate</x:v>
      </x:c>
      <x:c r="H4" t="str">
        <x:v>2025-02-21</x:v>
      </x:c>
      <x:c r="I4" t="str">
        <x:v>5</x:v>
      </x:c>
      <x:c r="J4" t="str">
        <x:v>2025-07-21</x:v>
      </x:c>
      <x:c r="K4"/>
      <x:c r="L4" t="str">
        <x:v>2025-07-21</x:v>
      </x:c>
      <x:c r="M4" t="str">
        <x:v>-312.0</x:v>
      </x:c>
      <x:c r="N4" t="str">
        <x:v>312.0</x:v>
      </x:c>
      <x:c r="O4" t="str">
        <x:v>เช่ายืม</x:v>
      </x:c>
      <x:c r="P4" t="str">
        <x:v>เช่ายืม</x:v>
      </x:c>
      <x:c r="Q4" t="str">
        <x:v>อยู่ระหว่างเช่ายืม / เกินกำหนดคืน 312 วัน</x:v>
      </x:c>
      <x:c r="R4"/>
      <x:c r="S4" t="str">
        <x:v>4.0</x:v>
      </x:c>
    </x:row>
    <x:row r="5">
      <x:c r="A5" t="str">
        <x:v>R0004</x:v>
      </x:c>
      <x:c r="B5" t="str">
        <x:v>CESR00012</x:v>
      </x:c>
      <x:c r="C5" t="str">
        <x:v>21123050007</x:v>
      </x:c>
      <x:c r="D5" t="str">
        <x:v>BYOND</x:v>
      </x:c>
      <x:c r="E5" t="str">
        <x:v>Sunfusion Semi-2</x:v>
      </x:c>
      <x:c r="F5" t="str">
        <x:v>DEMO รพ.ปากช่องนานา</x:v>
      </x:c>
      <x:c r="G5" t="str">
        <x:v>DEMO รพ.ปากช่องนานา</x:v>
      </x:c>
      <x:c r="H5" t="str">
        <x:v>2025-03-23</x:v>
      </x:c>
      <x:c r="I5" t="str">
        <x:v>5</x:v>
      </x:c>
      <x:c r="J5" t="str">
        <x:v>2025-08-23</x:v>
      </x:c>
      <x:c r="K5" t="str">
        <x:v>46171.0</x:v>
      </x:c>
      <x:c r="L5" t="str">
        <x:v>2025-08-23</x:v>
      </x:c>
      <x:c r="M5" t="str">
        <x:v>-279.0</x:v>
      </x:c>
      <x:c r="N5" t="str">
        <x:v>279.0</x:v>
      </x:c>
      <x:c r="O5" t="str">
        <x:v>คืนแล้ว</x:v>
      </x:c>
      <x:c r="P5" t="str">
        <x:v>รอสอบเทียบ</x:v>
      </x:c>
      <x:c r="Q5" t="str">
        <x:v>Returned</x:v>
      </x:c>
      <x:c r="R5" t="str">
        <x:v>Return from web</x:v>
      </x:c>
      <x:c r="S5" t="str">
        <x:v>5.0</x:v>
      </x:c>
    </x:row>
    <x:row r="6">
      <x:c r="A6" t="str">
        <x:v>R0005</x:v>
      </x:c>
      <x:c r="B6" t="str">
        <x:v>CESR00043</x:v>
      </x:c>
      <x:c r="C6" t="str">
        <x:v>21123050046</x:v>
      </x:c>
      <x:c r="D6" t="str">
        <x:v>BYOND</x:v>
      </x:c>
      <x:c r="E6" t="str">
        <x:v>Sunfusion Semi-2</x:v>
      </x:c>
      <x:c r="F6" t="str">
        <x:v>DEMO รพ.ปากช่องนานา</x:v>
      </x:c>
      <x:c r="G6" t="str">
        <x:v>DEMO รพ.ปากช่องนานา</x:v>
      </x:c>
      <x:c r="H6" t="str">
        <x:v>2025-03-23</x:v>
      </x:c>
      <x:c r="I6" t="str">
        <x:v>5</x:v>
      </x:c>
      <x:c r="J6" t="str">
        <x:v>2025-08-23</x:v>
      </x:c>
      <x:c r="K6" t="str">
        <x:v>46171.0</x:v>
      </x:c>
      <x:c r="L6" t="str">
        <x:v>2025-08-23</x:v>
      </x:c>
      <x:c r="M6" t="str">
        <x:v>-279.0</x:v>
      </x:c>
      <x:c r="N6" t="str">
        <x:v>279.0</x:v>
      </x:c>
      <x:c r="O6" t="str">
        <x:v>คืนแล้ว</x:v>
      </x:c>
      <x:c r="P6" t="str">
        <x:v>รอสอบเทียบ</x:v>
      </x:c>
      <x:c r="Q6" t="str">
        <x:v>Returned</x:v>
      </x:c>
      <x:c r="R6" t="str">
        <x:v>Return from web</x:v>
      </x:c>
      <x:c r="S6" t="str">
        <x:v>6.0</x:v>
      </x:c>
    </x:row>
    <x:row r="7">
      <x:c r="A7" t="str">
        <x:v>R0006</x:v>
      </x:c>
      <x:c r="B7" t="str">
        <x:v>CESR00191</x:v>
      </x:c>
      <x:c r="C7" t="str">
        <x:v>21123060061</x:v>
      </x:c>
      <x:c r="D7" t="str">
        <x:v>BYOND</x:v>
      </x:c>
      <x:c r="E7" t="str">
        <x:v>Sunfusion Semi-2</x:v>
      </x:c>
      <x:c r="F7" t="str">
        <x:v>DEMO รพ.ปากช่องนานา</x:v>
      </x:c>
      <x:c r="G7" t="str">
        <x:v>DEMO รพ.ปากช่องนานา</x:v>
      </x:c>
      <x:c r="H7" t="str">
        <x:v>2025-03-23</x:v>
      </x:c>
      <x:c r="I7" t="str">
        <x:v>5</x:v>
      </x:c>
      <x:c r="J7" t="str">
        <x:v>2025-08-23</x:v>
      </x:c>
      <x:c r="K7" t="str">
        <x:v>46171.0</x:v>
      </x:c>
      <x:c r="L7" t="str">
        <x:v>2025-08-23</x:v>
      </x:c>
      <x:c r="M7" t="str">
        <x:v>-279.0</x:v>
      </x:c>
      <x:c r="N7" t="str">
        <x:v>279.0</x:v>
      </x:c>
      <x:c r="O7" t="str">
        <x:v>คืนแล้ว</x:v>
      </x:c>
      <x:c r="P7" t="str">
        <x:v>รอสอบเทียบ</x:v>
      </x:c>
      <x:c r="Q7" t="str">
        <x:v>Returned</x:v>
      </x:c>
      <x:c r="R7" t="str">
        <x:v>Return from web</x:v>
      </x:c>
      <x:c r="S7" t="str">
        <x:v>7.0</x:v>
      </x:c>
    </x:row>
    <x:row r="8">
      <x:c r="A8" t="str">
        <x:v>R0007</x:v>
      </x:c>
      <x:c r="B8" t="str">
        <x:v>CESR00016</x:v>
      </x:c>
      <x:c r="C8" t="str">
        <x:v>21123050012</x:v>
      </x:c>
      <x:c r="D8" t="str">
        <x:v>BYOND</x:v>
      </x:c>
      <x:c r="E8" t="str">
        <x:v>Sunfusion Semi-2</x:v>
      </x:c>
      <x:c r="F8" t="str">
        <x:v>DEMO รพ.ปากช่องนานา</x:v>
      </x:c>
      <x:c r="G8" t="str">
        <x:v>DEMO รพ.ปากช่องนานา</x:v>
      </x:c>
      <x:c r="H8" t="str">
        <x:v>2025-03-23</x:v>
      </x:c>
      <x:c r="I8" t="str">
        <x:v>5</x:v>
      </x:c>
      <x:c r="J8" t="str">
        <x:v>2025-08-23</x:v>
      </x:c>
      <x:c r="K8" t="str">
        <x:v>46171.0</x:v>
      </x:c>
      <x:c r="L8" t="str">
        <x:v>2025-08-23</x:v>
      </x:c>
      <x:c r="M8" t="str">
        <x:v>-279.0</x:v>
      </x:c>
      <x:c r="N8" t="str">
        <x:v>279.0</x:v>
      </x:c>
      <x:c r="O8" t="str">
        <x:v>คืนแล้ว</x:v>
      </x:c>
      <x:c r="P8" t="str">
        <x:v>รอสอบเทียบ</x:v>
      </x:c>
      <x:c r="Q8" t="str">
        <x:v>Returned</x:v>
      </x:c>
      <x:c r="R8" t="str">
        <x:v>Return from web</x:v>
      </x:c>
      <x:c r="S8" t="str">
        <x:v>8.0</x:v>
      </x:c>
    </x:row>
    <x:row r="9">
      <x:c r="A9" t="str">
        <x:v>R0008</x:v>
      </x:c>
      <x:c r="B9" t="str">
        <x:v>CESR00028</x:v>
      </x:c>
      <x:c r="C9" t="str">
        <x:v>21123050024</x:v>
      </x:c>
      <x:c r="D9" t="str">
        <x:v>BYOND</x:v>
      </x:c>
      <x:c r="E9" t="str">
        <x:v>Sunfusion Semi-2</x:v>
      </x:c>
      <x:c r="F9" t="str">
        <x:v>DEMO รพ.ปากช่องนานา</x:v>
      </x:c>
      <x:c r="G9" t="str">
        <x:v>DEMO รพ.ปากช่องนานา</x:v>
      </x:c>
      <x:c r="H9" t="str">
        <x:v>2025-03-23</x:v>
      </x:c>
      <x:c r="I9" t="str">
        <x:v>6</x:v>
      </x:c>
      <x:c r="J9" t="str">
        <x:v>2025-09-23</x:v>
      </x:c>
      <x:c r="K9"/>
      <x:c r="L9" t="str">
        <x:v>2025-09-23</x:v>
      </x:c>
      <x:c r="M9" t="str">
        <x:v>-248.0</x:v>
      </x:c>
      <x:c r="N9" t="str">
        <x:v>248.0</x:v>
      </x:c>
      <x:c r="O9" t="str">
        <x:v>เช่ายืม</x:v>
      </x:c>
      <x:c r="P9" t="str">
        <x:v>เช่ายืม</x:v>
      </x:c>
      <x:c r="Q9" t="str">
        <x:v>อยู่ระหว่างเช่ายืม / เกินกำหนดคืน 248 วัน</x:v>
      </x:c>
      <x:c r="R9" t="str">
        <x:v>เช่าต่อ</x:v>
      </x:c>
      <x:c r="S9" t="str">
        <x:v>9.0</x:v>
      </x:c>
    </x:row>
    <x:row r="10">
      <x:c r="A10" t="str">
        <x:v>R0009</x:v>
      </x:c>
      <x:c r="B10" t="str">
        <x:v>NHBB0381</x:v>
      </x:c>
      <x:c r="C10" t="str">
        <x:v>468697</x:v>
      </x:c>
      <x:c r="D10" t="str">
        <x:v>B.Braun</x:v>
      </x:c>
      <x:c r="E10" t="str">
        <x:v>Infusomat Space</x:v>
      </x:c>
      <x:c r="F10" t="str">
        <x:v>Mr.Raymond William Hasse</x:v>
      </x:c>
      <x:c r="G10" t="str">
        <x:v>Mr.Raymond William Hasse</x:v>
      </x:c>
      <x:c r="H10" t="str">
        <x:v>2025-04-07</x:v>
      </x:c>
      <x:c r="I10" t="str">
        <x:v>3</x:v>
      </x:c>
      <x:c r="J10" t="str">
        <x:v>2025-07-07</x:v>
      </x:c>
      <x:c r="K10"/>
      <x:c r="L10" t="str">
        <x:v>2025-07-07</x:v>
      </x:c>
      <x:c r="M10" t="str">
        <x:v>-326.0</x:v>
      </x:c>
      <x:c r="N10" t="str">
        <x:v>326.0</x:v>
      </x:c>
      <x:c r="O10" t="str">
        <x:v>เช่ายืม</x:v>
      </x:c>
      <x:c r="P10" t="str">
        <x:v>เช่ายืม</x:v>
      </x:c>
      <x:c r="Q10" t="str">
        <x:v>อยู่ระหว่างเช่ายืม / เกินกำหนดคืน 326 วัน</x:v>
      </x:c>
      <x:c r="R10" t="str">
        <x:v>เช่าเครื่อง Infusion Pump BBraun 1 เครื่อง พร้อม IV set 30 qty</x:v>
      </x:c>
      <x:c r="S10" t="str">
        <x:v>10.0</x:v>
      </x:c>
    </x:row>
    <x:row r="11">
      <x:c r="A11" t="str">
        <x:v>R0010</x:v>
      </x:c>
      <x:c r="B11" t="str">
        <x:v>CESR00094</x:v>
      </x:c>
      <x:c r="C11" t="str">
        <x:v>21123050106</x:v>
      </x:c>
      <x:c r="D11" t="str">
        <x:v>BYOND</x:v>
      </x:c>
      <x:c r="E11" t="str">
        <x:v>Sunfusion Semi-2</x:v>
      </x:c>
      <x:c r="F11" t="str">
        <x:v>DEMO รพ.สูงเนิน</x:v>
      </x:c>
      <x:c r="G11" t="str">
        <x:v>รพ.สูงเนิน</x:v>
      </x:c>
      <x:c r="H11" t="str">
        <x:v>2025-04-17</x:v>
      </x:c>
      <x:c r="I11" t="str">
        <x:v>3</x:v>
      </x:c>
      <x:c r="J11" t="str">
        <x:v>2026-09-17</x:v>
      </x:c>
      <x:c r="K11"/>
      <x:c r="L11" t="str">
        <x:v>2026-09-17</x:v>
      </x:c>
      <x:c r="M11" t="str">
        <x:v>111.0</x:v>
      </x:c>
      <x:c r="N11" t="str">
        <x:v>0.0</x:v>
      </x:c>
      <x:c r="O11" t="str">
        <x:v>เช่ายืม</x:v>
      </x:c>
      <x:c r="P11" t="str">
        <x:v>เช่ายืม</x:v>
      </x:c>
      <x:c r="Q11" t="str">
        <x:v>อยู่ระหว่างเช่ายืม</x:v>
      </x:c>
      <x:c r="R11"/>
      <x:c r="S11" t="str">
        <x:v>11.0</x:v>
      </x:c>
    </x:row>
    <x:row r="12">
      <x:c r="A12" t="str">
        <x:v>R0011</x:v>
      </x:c>
      <x:c r="B12" t="str">
        <x:v>CESR00207</x:v>
      </x:c>
      <x:c r="C12" t="str">
        <x:v>21123060079</x:v>
      </x:c>
      <x:c r="D12" t="str">
        <x:v>BYOND</x:v>
      </x:c>
      <x:c r="E12" t="str">
        <x:v>Sunfusion Semi-2</x:v>
      </x:c>
      <x:c r="F12" t="str">
        <x:v>DEMO รพ.สูงเนิน</x:v>
      </x:c>
      <x:c r="G12" t="str">
        <x:v>รพ.สูงเนิน</x:v>
      </x:c>
      <x:c r="H12" t="str">
        <x:v>2025-04-17</x:v>
      </x:c>
      <x:c r="I12" t="str">
        <x:v>3</x:v>
      </x:c>
      <x:c r="J12" t="str">
        <x:v>2025-07-17</x:v>
      </x:c>
      <x:c r="K12"/>
      <x:c r="L12" t="str">
        <x:v>2025-07-17</x:v>
      </x:c>
      <x:c r="M12" t="str">
        <x:v>-316.0</x:v>
      </x:c>
      <x:c r="N12" t="str">
        <x:v>316.0</x:v>
      </x:c>
      <x:c r="O12" t="str">
        <x:v>เช่ายืม</x:v>
      </x:c>
      <x:c r="P12" t="str">
        <x:v>เช่ายืม</x:v>
      </x:c>
      <x:c r="Q12" t="str">
        <x:v>อยู่ระหว่างเช่ายืม / เกินกำหนดคืน 316 วัน</x:v>
      </x:c>
      <x:c r="R12" t="str">
        <x:v>ได้รับกลับมาแล้ว 1 เครื่อง</x:v>
      </x:c>
      <x:c r="S12" t="str">
        <x:v>12.0</x:v>
      </x:c>
    </x:row>
    <x:row r="13">
      <x:c r="A13" t="str">
        <x:v>R0012</x:v>
      </x:c>
      <x:c r="B13" t="str">
        <x:v>CESR00168</x:v>
      </x:c>
      <x:c r="C13" t="str">
        <x:v>21123060037</x:v>
      </x:c>
      <x:c r="D13" t="str">
        <x:v>BYOND</x:v>
      </x:c>
      <x:c r="E13" t="str">
        <x:v>Sunfusion Semi-2</x:v>
      </x:c>
      <x:c r="F13" t="str">
        <x:v>DEMO รพ.สูงเนิน</x:v>
      </x:c>
      <x:c r="G13" t="str">
        <x:v>รพ.สูงเนิน</x:v>
      </x:c>
      <x:c r="H13" t="str">
        <x:v>2025-04-17</x:v>
      </x:c>
      <x:c r="I13" t="str">
        <x:v>3</x:v>
      </x:c>
      <x:c r="J13" t="str">
        <x:v>2026-09-17</x:v>
      </x:c>
      <x:c r="K13" t="str">
        <x:v>2025-09-10</x:v>
      </x:c>
      <x:c r="L13" t="str">
        <x:v>2026-09-17</x:v>
      </x:c>
      <x:c r="M13"/>
      <x:c r="N13" t="str">
        <x:v>0.0</x:v>
      </x:c>
      <x:c r="O13" t="str">
        <x:v>คืนแล้ว</x:v>
      </x:c>
      <x:c r="P13" t="str">
        <x:v>รอสอบเทียบ</x:v>
      </x:c>
      <x:c r="Q13" t="str">
        <x:v>No action</x:v>
      </x:c>
      <x:c r="R13"/>
      <x:c r="S13" t="str">
        <x:v>13.0</x:v>
      </x:c>
    </x:row>
    <x:row r="14">
      <x:c r="A14" t="str">
        <x:v>R0013</x:v>
      </x:c>
      <x:c r="B14" t="str">
        <x:v>CESR00218</x:v>
      </x:c>
      <x:c r="C14" t="str">
        <x:v>21123060091</x:v>
      </x:c>
      <x:c r="D14" t="str">
        <x:v>BYOND</x:v>
      </x:c>
      <x:c r="E14" t="str">
        <x:v>Sunfusion Semi-2</x:v>
      </x:c>
      <x:c r="F14" t="str">
        <x:v>DEMO รพ.แกลง</x:v>
      </x:c>
      <x:c r="G14" t="str">
        <x:v>DEMO รพ.แกลง</x:v>
      </x:c>
      <x:c r="H14" t="str">
        <x:v>2025-05-07</x:v>
      </x:c>
      <x:c r="I14" t="str">
        <x:v>4</x:v>
      </x:c>
      <x:c r="J14" t="str">
        <x:v>2025-09-07</x:v>
      </x:c>
      <x:c r="K14" t="str">
        <x:v>2025-09-10</x:v>
      </x:c>
      <x:c r="L14" t="str">
        <x:v>2025-09-07</x:v>
      </x:c>
      <x:c r="M14"/>
      <x:c r="N14" t="str">
        <x:v>0.0</x:v>
      </x:c>
      <x:c r="O14" t="str">
        <x:v>คืนแล้ว</x:v>
      </x:c>
      <x:c r="P14" t="str">
        <x:v>รอสอบเทียบ</x:v>
      </x:c>
      <x:c r="Q14" t="str">
        <x:v>No action</x:v>
      </x:c>
      <x:c r="R14"/>
      <x:c r="S14" t="str">
        <x:v>14.0</x:v>
      </x:c>
    </x:row>
    <x:row r="15">
      <x:c r="A15" t="str">
        <x:v>R0014</x:v>
      </x:c>
      <x:c r="B15" t="str">
        <x:v>CESR00131</x:v>
      </x:c>
      <x:c r="C15" t="str">
        <x:v>21123050148</x:v>
      </x:c>
      <x:c r="D15" t="str">
        <x:v>BYOND</x:v>
      </x:c>
      <x:c r="E15" t="str">
        <x:v>Sunfusion Semi-2</x:v>
      </x:c>
      <x:c r="F15" t="str">
        <x:v>DEMO รพ.แกลง</x:v>
      </x:c>
      <x:c r="G15" t="str">
        <x:v>DEMO รพ.แกลง</x:v>
      </x:c>
      <x:c r="H15" t="str">
        <x:v>2025-05-07</x:v>
      </x:c>
      <x:c r="I15" t="str">
        <x:v>4</x:v>
      </x:c>
      <x:c r="J15" t="str">
        <x:v>2025-09-07</x:v>
      </x:c>
      <x:c r="K15" t="str">
        <x:v>2025-09-10</x:v>
      </x:c>
      <x:c r="L15" t="str">
        <x:v>2025-09-07</x:v>
      </x:c>
      <x:c r="M15"/>
      <x:c r="N15" t="str">
        <x:v>0.0</x:v>
      </x:c>
      <x:c r="O15" t="str">
        <x:v>คืนแล้ว</x:v>
      </x:c>
      <x:c r="P15" t="str">
        <x:v>รอสอบเทียบ</x:v>
      </x:c>
      <x:c r="Q15" t="str">
        <x:v>No action</x:v>
      </x:c>
      <x:c r="R15"/>
      <x:c r="S15" t="str">
        <x:v>15.0</x:v>
      </x:c>
    </x:row>
    <x:row r="16">
      <x:c r="A16" t="str">
        <x:v>R0015</x:v>
      </x:c>
      <x:c r="B16" t="str">
        <x:v>CESR00088</x:v>
      </x:c>
      <x:c r="C16" t="str">
        <x:v>21123050099</x:v>
      </x:c>
      <x:c r="D16" t="str">
        <x:v>BYOND</x:v>
      </x:c>
      <x:c r="E16" t="str">
        <x:v>Sunfusion Semi-2</x:v>
      </x:c>
      <x:c r="F16" t="str">
        <x:v>DEMO รพ.แกลง</x:v>
      </x:c>
      <x:c r="G16" t="str">
        <x:v>DEMO รพ.แกลง</x:v>
      </x:c>
      <x:c r="H16" t="str">
        <x:v>2025-05-07</x:v>
      </x:c>
      <x:c r="I16" t="str">
        <x:v>4</x:v>
      </x:c>
      <x:c r="J16" t="str">
        <x:v>2025-09-07</x:v>
      </x:c>
      <x:c r="K16" t="str">
        <x:v>2025-09-10</x:v>
      </x:c>
      <x:c r="L16" t="str">
        <x:v>2025-09-07</x:v>
      </x:c>
      <x:c r="M16"/>
      <x:c r="N16" t="str">
        <x:v>0.0</x:v>
      </x:c>
      <x:c r="O16" t="str">
        <x:v>คืนแล้ว</x:v>
      </x:c>
      <x:c r="P16" t="str">
        <x:v>รอสอบเทียบ</x:v>
      </x:c>
      <x:c r="Q16" t="str">
        <x:v>No action</x:v>
      </x:c>
      <x:c r="R16"/>
      <x:c r="S16" t="str">
        <x:v>16.0</x:v>
      </x:c>
    </x:row>
    <x:row r="17">
      <x:c r="A17" t="str">
        <x:v>R0016</x:v>
      </x:c>
      <x:c r="B17" t="str">
        <x:v>CESR00230</x:v>
      </x:c>
      <x:c r="C17" t="str">
        <x:v>21123060093</x:v>
      </x:c>
      <x:c r="D17" t="str">
        <x:v>BYOND</x:v>
      </x:c>
      <x:c r="E17" t="str">
        <x:v>Sunfusion Semi-2</x:v>
      </x:c>
      <x:c r="F17" t="str">
        <x:v>DEMO รพ.แกลง</x:v>
      </x:c>
      <x:c r="G17" t="str">
        <x:v>DEMO รพ.แกลง</x:v>
      </x:c>
      <x:c r="H17" t="str">
        <x:v>2025-05-07</x:v>
      </x:c>
      <x:c r="I17" t="str">
        <x:v>4</x:v>
      </x:c>
      <x:c r="J17" t="str">
        <x:v>2025-09-07</x:v>
      </x:c>
      <x:c r="K17" t="str">
        <x:v>2025-09-10</x:v>
      </x:c>
      <x:c r="L17" t="str">
        <x:v>2025-09-07</x:v>
      </x:c>
      <x:c r="M17"/>
      <x:c r="N17" t="str">
        <x:v>0.0</x:v>
      </x:c>
      <x:c r="O17" t="str">
        <x:v>คืนแล้ว</x:v>
      </x:c>
      <x:c r="P17" t="str">
        <x:v>รอสอบเทียบ</x:v>
      </x:c>
      <x:c r="Q17" t="str">
        <x:v>No action</x:v>
      </x:c>
      <x:c r="R17"/>
      <x:c r="S17" t="str">
        <x:v>17.0</x:v>
      </x:c>
    </x:row>
    <x:row r="18">
      <x:c r="A18" t="str">
        <x:v>R0017</x:v>
      </x:c>
      <x:c r="B18" t="str">
        <x:v>CESR00081</x:v>
      </x:c>
      <x:c r="C18" t="str">
        <x:v>21123050092</x:v>
      </x:c>
      <x:c r="D18" t="str">
        <x:v>BYOND</x:v>
      </x:c>
      <x:c r="E18" t="str">
        <x:v>Sunfusion Semi-2</x:v>
      </x:c>
      <x:c r="F18" t="str">
        <x:v>DEMO รพ.แกลง</x:v>
      </x:c>
      <x:c r="G18" t="str">
        <x:v>DEMO รพ.แกลง</x:v>
      </x:c>
      <x:c r="H18" t="str">
        <x:v>2025-05-07</x:v>
      </x:c>
      <x:c r="I18" t="str">
        <x:v>4</x:v>
      </x:c>
      <x:c r="J18" t="str">
        <x:v>2025-09-07</x:v>
      </x:c>
      <x:c r="K18" t="str">
        <x:v>2025-09-10</x:v>
      </x:c>
      <x:c r="L18" t="str">
        <x:v>2025-09-07</x:v>
      </x:c>
      <x:c r="M18"/>
      <x:c r="N18" t="str">
        <x:v>0.0</x:v>
      </x:c>
      <x:c r="O18" t="str">
        <x:v>คืนแล้ว</x:v>
      </x:c>
      <x:c r="P18" t="str">
        <x:v>รอสอบเทียบ</x:v>
      </x:c>
      <x:c r="Q18" t="str">
        <x:v>No action</x:v>
      </x:c>
      <x:c r="R18"/>
      <x:c r="S18" t="str">
        <x:v>18.0</x:v>
      </x:c>
    </x:row>
    <x:row r="19">
      <x:c r="A19" t="str">
        <x:v>R0018</x:v>
      </x:c>
      <x:c r="B19" t="str">
        <x:v>NHB0043</x:v>
      </x:c>
      <x:c r="C19" t="str">
        <x:v>252106</x:v>
      </x:c>
      <x:c r="D19" t="str">
        <x:v>B.Braun</x:v>
      </x:c>
      <x:c r="E19" t="str">
        <x:v>Infusomat Space</x:v>
      </x:c>
      <x:c r="F19" t="str">
        <x:v>Absolute Health Bangkok</x:v>
      </x:c>
      <x:c r="G19" t="str">
        <x:v>Absolute Health Bangkok</x:v>
      </x:c>
      <x:c r="H19" t="str">
        <x:v>2025-05-08</x:v>
      </x:c>
      <x:c r="I19" t="str">
        <x:v>12</x:v>
      </x:c>
      <x:c r="J19" t="str">
        <x:v>2026-05-08</x:v>
      </x:c>
      <x:c r="K19"/>
      <x:c r="L19" t="str">
        <x:v>2026-05-08</x:v>
      </x:c>
      <x:c r="M19" t="str">
        <x:v>-21.0</x:v>
      </x:c>
      <x:c r="N19" t="str">
        <x:v>21.0</x:v>
      </x:c>
      <x:c r="O19" t="str">
        <x:v>เช่ายืม</x:v>
      </x:c>
      <x:c r="P19" t="str">
        <x:v>เช่ายืม</x:v>
      </x:c>
      <x:c r="Q19" t="str">
        <x:v>อยู่ระหว่างเช่ายืม / เกินกำหนดคืน 21 วัน</x:v>
      </x:c>
      <x:c r="R19"/>
      <x:c r="S19" t="str">
        <x:v>19.0</x:v>
      </x:c>
    </x:row>
    <x:row r="20">
      <x:c r="A20" t="str">
        <x:v>R0019</x:v>
      </x:c>
      <x:c r="B20" t="str">
        <x:v>292341</x:v>
      </x:c>
      <x:c r="C20" t="str">
        <x:v>292341</x:v>
      </x:c>
      <x:c r="D20" t="str">
        <x:v>B.Braun</x:v>
      </x:c>
      <x:c r="E20" t="str">
        <x:v>Infusomat Space</x:v>
      </x:c>
      <x:c r="F20" t="str">
        <x:v>Absolute Health Bangkok</x:v>
      </x:c>
      <x:c r="G20" t="str">
        <x:v>Absolute Health Bangkok</x:v>
      </x:c>
      <x:c r="H20" t="str">
        <x:v>2025-05-08</x:v>
      </x:c>
      <x:c r="I20" t="str">
        <x:v>12</x:v>
      </x:c>
      <x:c r="J20" t="str">
        <x:v>2026-05-08</x:v>
      </x:c>
      <x:c r="K20"/>
      <x:c r="L20" t="str">
        <x:v>2026-05-08</x:v>
      </x:c>
      <x:c r="M20" t="str">
        <x:v>-21.0</x:v>
      </x:c>
      <x:c r="N20" t="str">
        <x:v>21.0</x:v>
      </x:c>
      <x:c r="O20" t="str">
        <x:v>เช่ายืม</x:v>
      </x:c>
      <x:c r="P20" t="str">
        <x:v>เช่ายืม</x:v>
      </x:c>
      <x:c r="Q20" t="str">
        <x:v>อยู่ระหว่างเช่ายืม / เกินกำหนดคืน 21 วัน</x:v>
      </x:c>
      <x:c r="R20"/>
      <x:c r="S20" t="str">
        <x:v>20.0</x:v>
      </x:c>
    </x:row>
    <x:row r="21">
      <x:c r="A21" t="str">
        <x:v>R0020</x:v>
      </x:c>
      <x:c r="B21" t="str">
        <x:v>468514</x:v>
      </x:c>
      <x:c r="C21" t="str">
        <x:v>468514</x:v>
      </x:c>
      <x:c r="D21" t="str">
        <x:v>B.Braun</x:v>
      </x:c>
      <x:c r="E21" t="str">
        <x:v>Infusomat Space</x:v>
      </x:c>
      <x:c r="F21" t="str">
        <x:v>Absolute Health Bangkok</x:v>
      </x:c>
      <x:c r="G21" t="str">
        <x:v>Absolute Health Bangkok</x:v>
      </x:c>
      <x:c r="H21" t="str">
        <x:v>2025-05-08</x:v>
      </x:c>
      <x:c r="I21" t="str">
        <x:v>12</x:v>
      </x:c>
      <x:c r="J21" t="str">
        <x:v>2026-05-08</x:v>
      </x:c>
      <x:c r="K21"/>
      <x:c r="L21" t="str">
        <x:v>2026-05-08</x:v>
      </x:c>
      <x:c r="M21" t="str">
        <x:v>-21.0</x:v>
      </x:c>
      <x:c r="N21" t="str">
        <x:v>21.0</x:v>
      </x:c>
      <x:c r="O21" t="str">
        <x:v>เช่ายืม</x:v>
      </x:c>
      <x:c r="P21" t="str">
        <x:v>เช่ายืม</x:v>
      </x:c>
      <x:c r="Q21" t="str">
        <x:v>อยู่ระหว่างเช่ายืม / เกินกำหนดคืน 21 วัน</x:v>
      </x:c>
      <x:c r="R21"/>
      <x:c r="S21" t="str">
        <x:v>21.0</x:v>
      </x:c>
    </x:row>
    <x:row r="22">
      <x:c r="A22" t="str">
        <x:v>R0021</x:v>
      </x:c>
      <x:c r="B22" t="str">
        <x:v>NHBB0173</x:v>
      </x:c>
      <x:c r="C22" t="str">
        <x:v>252244</x:v>
      </x:c>
      <x:c r="D22" t="str">
        <x:v>B.Braun</x:v>
      </x:c>
      <x:c r="E22" t="str">
        <x:v>Infusomat Space</x:v>
      </x:c>
      <x:c r="F22" t="str">
        <x:v>Absolute Health Bangkok</x:v>
      </x:c>
      <x:c r="G22" t="str">
        <x:v>รับคืนจาก Viva</x:v>
      </x:c>
      <x:c r="H22" t="str">
        <x:v>2025-05-02</x:v>
      </x:c>
      <x:c r="I22" t="str">
        <x:v>12</x:v>
      </x:c>
      <x:c r="J22" t="str">
        <x:v>2026-05-02</x:v>
      </x:c>
      <x:c r="K22"/>
      <x:c r="L22" t="str">
        <x:v>2026-05-02</x:v>
      </x:c>
      <x:c r="M22" t="str">
        <x:v>-27.0</x:v>
      </x:c>
      <x:c r="N22" t="str">
        <x:v>27.0</x:v>
      </x:c>
      <x:c r="O22" t="str">
        <x:v>เช่ายืม</x:v>
      </x:c>
      <x:c r="P22" t="str">
        <x:v>เช่ายืม</x:v>
      </x:c>
      <x:c r="Q22" t="str">
        <x:v>อยู่ระหว่างเช่ายืม / เกินกำหนดคืน 27 วัน</x:v>
      </x:c>
      <x:c r="R22"/>
      <x:c r="S22" t="str">
        <x:v>22.0</x:v>
      </x:c>
    </x:row>
    <x:row r="23">
      <x:c r="A23" t="str">
        <x:v>R0022</x:v>
      </x:c>
      <x:c r="B23" t="str">
        <x:v>NHBB0213</x:v>
      </x:c>
      <x:c r="C23" t="str">
        <x:v>125468</x:v>
      </x:c>
      <x:c r="D23" t="str">
        <x:v>B.Braun</x:v>
      </x:c>
      <x:c r="E23" t="str">
        <x:v>Infusomat Space</x:v>
      </x:c>
      <x:c r="F23" t="str">
        <x:v>Absolute Health Bangkok</x:v>
      </x:c>
      <x:c r="G23" t="str">
        <x:v>รับคืนจาก Viva</x:v>
      </x:c>
      <x:c r="H23" t="str">
        <x:v>2025-05-02</x:v>
      </x:c>
      <x:c r="I23" t="str">
        <x:v>12</x:v>
      </x:c>
      <x:c r="J23" t="str">
        <x:v>2026-05-02</x:v>
      </x:c>
      <x:c r="K23"/>
      <x:c r="L23" t="str">
        <x:v>2026-05-02</x:v>
      </x:c>
      <x:c r="M23" t="str">
        <x:v>-27.0</x:v>
      </x:c>
      <x:c r="N23" t="str">
        <x:v>27.0</x:v>
      </x:c>
      <x:c r="O23" t="str">
        <x:v>เช่ายืม</x:v>
      </x:c>
      <x:c r="P23" t="str">
        <x:v>เช่ายืม</x:v>
      </x:c>
      <x:c r="Q23" t="str">
        <x:v>อยู่ระหว่างเช่ายืม / เกินกำหนดคืน 27 วัน</x:v>
      </x:c>
      <x:c r="R23"/>
      <x:c r="S23" t="str">
        <x:v>23.0</x:v>
      </x:c>
    </x:row>
    <x:row r="24">
      <x:c r="A24" t="str">
        <x:v>R0023</x:v>
      </x:c>
      <x:c r="B24" t="str">
        <x:v>NHBB0210</x:v>
      </x:c>
      <x:c r="C24" t="str">
        <x:v>334193</x:v>
      </x:c>
      <x:c r="D24" t="str">
        <x:v>B.Braun</x:v>
      </x:c>
      <x:c r="E24" t="str">
        <x:v>Infusomat Space</x:v>
      </x:c>
      <x:c r="F24" t="str">
        <x:v>Absolute Health Bangkok</x:v>
      </x:c>
      <x:c r="G24" t="str">
        <x:v>รับคืนจาก Viva</x:v>
      </x:c>
      <x:c r="H24" t="str">
        <x:v>2025-05-02</x:v>
      </x:c>
      <x:c r="I24" t="str">
        <x:v>12</x:v>
      </x:c>
      <x:c r="J24" t="str">
        <x:v>2026-05-02</x:v>
      </x:c>
      <x:c r="K24"/>
      <x:c r="L24" t="str">
        <x:v>2026-05-02</x:v>
      </x:c>
      <x:c r="M24" t="str">
        <x:v>-27.0</x:v>
      </x:c>
      <x:c r="N24" t="str">
        <x:v>27.0</x:v>
      </x:c>
      <x:c r="O24" t="str">
        <x:v>เช่ายืม</x:v>
      </x:c>
      <x:c r="P24" t="str">
        <x:v>เช่ายืม</x:v>
      </x:c>
      <x:c r="Q24" t="str">
        <x:v>อยู่ระหว่างเช่ายืม / เกินกำหนดคืน 27 วัน</x:v>
      </x:c>
      <x:c r="R24"/>
      <x:c r="S24" t="str">
        <x:v>24.0</x:v>
      </x:c>
    </x:row>
    <x:row r="25">
      <x:c r="A25" t="str">
        <x:v>R0024</x:v>
      </x:c>
      <x:c r="B25" t="str">
        <x:v>NHBB0212</x:v>
      </x:c>
      <x:c r="C25" t="str">
        <x:v>138187</x:v>
      </x:c>
      <x:c r="D25" t="str">
        <x:v>B.Braun</x:v>
      </x:c>
      <x:c r="E25" t="str">
        <x:v>Infusomat Space</x:v>
      </x:c>
      <x:c r="F25" t="str">
        <x:v>Absolute Health Bangkok</x:v>
      </x:c>
      <x:c r="G25" t="str">
        <x:v>รับคืนจาก Viva</x:v>
      </x:c>
      <x:c r="H25" t="str">
        <x:v>2025-05-02</x:v>
      </x:c>
      <x:c r="I25" t="str">
        <x:v>12</x:v>
      </x:c>
      <x:c r="J25" t="str">
        <x:v>2026-05-02</x:v>
      </x:c>
      <x:c r="K25"/>
      <x:c r="L25" t="str">
        <x:v>2026-05-02</x:v>
      </x:c>
      <x:c r="M25" t="str">
        <x:v>-27.0</x:v>
      </x:c>
      <x:c r="N25" t="str">
        <x:v>27.0</x:v>
      </x:c>
      <x:c r="O25" t="str">
        <x:v>เช่ายืม</x:v>
      </x:c>
      <x:c r="P25" t="str">
        <x:v>เช่ายืม</x:v>
      </x:c>
      <x:c r="Q25" t="str">
        <x:v>อยู่ระหว่างเช่ายืม / เกินกำหนดคืน 27 วัน</x:v>
      </x:c>
      <x:c r="R25"/>
      <x:c r="S25" t="str">
        <x:v>25.0</x:v>
      </x:c>
    </x:row>
    <x:row r="26">
      <x:c r="A26" t="str">
        <x:v>R0025</x:v>
      </x:c>
      <x:c r="B26" t="str">
        <x:v>NHBB0172</x:v>
      </x:c>
      <x:c r="C26" t="str">
        <x:v>124653</x:v>
      </x:c>
      <x:c r="D26" t="str">
        <x:v>B.Braun</x:v>
      </x:c>
      <x:c r="E26" t="str">
        <x:v>Infusomat Space</x:v>
      </x:c>
      <x:c r="F26" t="str">
        <x:v>Absolute Health Bangkok</x:v>
      </x:c>
      <x:c r="G26" t="str">
        <x:v>รับคืนจาก Viva</x:v>
      </x:c>
      <x:c r="H26" t="str">
        <x:v>2025-05-02</x:v>
      </x:c>
      <x:c r="I26" t="str">
        <x:v>12</x:v>
      </x:c>
      <x:c r="J26" t="str">
        <x:v>2026-05-02</x:v>
      </x:c>
      <x:c r="K26"/>
      <x:c r="L26" t="str">
        <x:v>2026-05-02</x:v>
      </x:c>
      <x:c r="M26" t="str">
        <x:v>-27.0</x:v>
      </x:c>
      <x:c r="N26" t="str">
        <x:v>27.0</x:v>
      </x:c>
      <x:c r="O26" t="str">
        <x:v>เช่ายืม</x:v>
      </x:c>
      <x:c r="P26" t="str">
        <x:v>เช่ายืม</x:v>
      </x:c>
      <x:c r="Q26" t="str">
        <x:v>อยู่ระหว่างเช่ายืม / เกินกำหนดคืน 27 วัน</x:v>
      </x:c>
      <x:c r="R26"/>
      <x:c r="S26" t="str">
        <x:v>26.0</x:v>
      </x:c>
    </x:row>
    <x:row r="27">
      <x:c r="A27" t="str">
        <x:v>R0026</x:v>
      </x:c>
      <x:c r="B27" t="str">
        <x:v>NHBED172</x:v>
      </x:c>
      <x:c r="C27" t="str">
        <x:v>292368</x:v>
      </x:c>
      <x:c r="D27" t="str">
        <x:v>B.Braun</x:v>
      </x:c>
      <x:c r="E27" t="str">
        <x:v>Infusomat Space</x:v>
      </x:c>
      <x:c r="F27" t="str">
        <x:v>รพ.เชียงรายประชานุเคราะห์</x:v>
      </x:c>
      <x:c r="G27" t="str">
        <x:v>รพ.เชียงรายประชานุเคราะห์</x:v>
      </x:c>
      <x:c r="H27" t="str">
        <x:v>2025-05-27</x:v>
      </x:c>
      <x:c r="I27" t="str">
        <x:v>3</x:v>
      </x:c>
      <x:c r="J27" t="str">
        <x:v>2025-08-27</x:v>
      </x:c>
      <x:c r="K27"/>
      <x:c r="L27" t="str">
        <x:v>2025-08-27</x:v>
      </x:c>
      <x:c r="M27" t="str">
        <x:v>-275.0</x:v>
      </x:c>
      <x:c r="N27" t="str">
        <x:v>275.0</x:v>
      </x:c>
      <x:c r="O27" t="str">
        <x:v>เช่ายืม</x:v>
      </x:c>
      <x:c r="P27" t="str">
        <x:v>เช่ายืม</x:v>
      </x:c>
      <x:c r="Q27" t="str">
        <x:v>อยู่ระหว่างเช่ายืม / เกินกำหนดคืน 275 วัน</x:v>
      </x:c>
      <x:c r="R27"/>
      <x:c r="S27" t="str">
        <x:v>27.0</x:v>
      </x:c>
    </x:row>
    <x:row r="28">
      <x:c r="A28" t="str">
        <x:v>R0027</x:v>
      </x:c>
      <x:c r="B28" t="str">
        <x:v>NHBB0253</x:v>
      </x:c>
      <x:c r="C28" t="str">
        <x:v>125152</x:v>
      </x:c>
      <x:c r="D28" t="str">
        <x:v>B.Braun</x:v>
      </x:c>
      <x:c r="E28" t="str">
        <x:v>Infusomat Space</x:v>
      </x:c>
      <x:c r="F28" t="str">
        <x:v>รพ.เชียงรายประชานุเคราะห์</x:v>
      </x:c>
      <x:c r="G28" t="str">
        <x:v>รพ.เชียงรายประชานุเคราะห์</x:v>
      </x:c>
      <x:c r="H28" t="str">
        <x:v>2025-05-27</x:v>
      </x:c>
      <x:c r="I28" t="str">
        <x:v>3</x:v>
      </x:c>
      <x:c r="J28" t="str">
        <x:v>2025-08-27</x:v>
      </x:c>
      <x:c r="K28"/>
      <x:c r="L28" t="str">
        <x:v>2025-08-27</x:v>
      </x:c>
      <x:c r="M28" t="str">
        <x:v>-275.0</x:v>
      </x:c>
      <x:c r="N28" t="str">
        <x:v>275.0</x:v>
      </x:c>
      <x:c r="O28" t="str">
        <x:v>เช่ายืม</x:v>
      </x:c>
      <x:c r="P28" t="str">
        <x:v>เช่ายืม</x:v>
      </x:c>
      <x:c r="Q28" t="str">
        <x:v>อยู่ระหว่างเช่ายืม / เกินกำหนดคืน 275 วัน</x:v>
      </x:c>
      <x:c r="R28"/>
      <x:c r="S28" t="str">
        <x:v>28.0</x:v>
      </x:c>
    </x:row>
    <x:row r="29">
      <x:c r="A29" t="str">
        <x:v>R0028</x:v>
      </x:c>
      <x:c r="B29" t="str">
        <x:v>NHBB0109</x:v>
      </x:c>
      <x:c r="C29" t="str">
        <x:v>335730</x:v>
      </x:c>
      <x:c r="D29" t="str">
        <x:v>B.Braun</x:v>
      </x:c>
      <x:c r="E29" t="str">
        <x:v>Infusomat Space</x:v>
      </x:c>
      <x:c r="F29" t="str">
        <x:v>รพ.เชียงรายประชานุเคราะห์</x:v>
      </x:c>
      <x:c r="G29" t="str">
        <x:v>รพ.เชียงรายประชานุเคราะห์</x:v>
      </x:c>
      <x:c r="H29" t="str">
        <x:v>2025-05-27</x:v>
      </x:c>
      <x:c r="I29" t="str">
        <x:v>3</x:v>
      </x:c>
      <x:c r="J29" t="str">
        <x:v>2025-08-27</x:v>
      </x:c>
      <x:c r="K29"/>
      <x:c r="L29" t="str">
        <x:v>2025-08-27</x:v>
      </x:c>
      <x:c r="M29" t="str">
        <x:v>-275.0</x:v>
      </x:c>
      <x:c r="N29" t="str">
        <x:v>275.0</x:v>
      </x:c>
      <x:c r="O29" t="str">
        <x:v>เช่ายืม</x:v>
      </x:c>
      <x:c r="P29" t="str">
        <x:v>เช่ายืม</x:v>
      </x:c>
      <x:c r="Q29" t="str">
        <x:v>อยู่ระหว่างเช่ายืม / เกินกำหนดคืน 275 วัน</x:v>
      </x:c>
      <x:c r="R29"/>
      <x:c r="S29" t="str">
        <x:v>29.0</x:v>
      </x:c>
    </x:row>
    <x:row r="30">
      <x:c r="A30" t="str">
        <x:v>R0029</x:v>
      </x:c>
      <x:c r="B30" t="str">
        <x:v>NHBB0199</x:v>
      </x:c>
      <x:c r="C30" t="str">
        <x:v>335774</x:v>
      </x:c>
      <x:c r="D30" t="str">
        <x:v>B.Braun</x:v>
      </x:c>
      <x:c r="E30" t="str">
        <x:v>Infusomat Space</x:v>
      </x:c>
      <x:c r="F30" t="str">
        <x:v>รพ.เชียงรายประชานุเคราะห์</x:v>
      </x:c>
      <x:c r="G30" t="str">
        <x:v>รพ.เชียงรายประชานุเคราะห์</x:v>
      </x:c>
      <x:c r="H30" t="str">
        <x:v>2025-05-27</x:v>
      </x:c>
      <x:c r="I30" t="str">
        <x:v>3</x:v>
      </x:c>
      <x:c r="J30" t="str">
        <x:v>2025-08-27</x:v>
      </x:c>
      <x:c r="K30"/>
      <x:c r="L30" t="str">
        <x:v>2025-08-27</x:v>
      </x:c>
      <x:c r="M30" t="str">
        <x:v>-275.0</x:v>
      </x:c>
      <x:c r="N30" t="str">
        <x:v>275.0</x:v>
      </x:c>
      <x:c r="O30" t="str">
        <x:v>เช่ายืม</x:v>
      </x:c>
      <x:c r="P30" t="str">
        <x:v>เช่ายืม</x:v>
      </x:c>
      <x:c r="Q30" t="str">
        <x:v>อยู่ระหว่างเช่ายืม / เกินกำหนดคืน 275 วัน</x:v>
      </x:c>
      <x:c r="R30"/>
      <x:c r="S30" t="str">
        <x:v>30.0</x:v>
      </x:c>
    </x:row>
    <x:row r="31">
      <x:c r="A31" t="str">
        <x:v>R0030</x:v>
      </x:c>
      <x:c r="B31" t="str">
        <x:v>NHBB0419</x:v>
      </x:c>
      <x:c r="C31" t="str">
        <x:v>468643</x:v>
      </x:c>
      <x:c r="D31" t="str">
        <x:v>B.Braun</x:v>
      </x:c>
      <x:c r="E31" t="str">
        <x:v>Infusomat Space</x:v>
      </x:c>
      <x:c r="F31" t="str">
        <x:v>รพ.เชียงรายประชานุเคราะห์</x:v>
      </x:c>
      <x:c r="G31" t="str">
        <x:v>รพ.เชียงรายประชานุเคราะห์</x:v>
      </x:c>
      <x:c r="H31" t="str">
        <x:v>2025-05-27</x:v>
      </x:c>
      <x:c r="I31" t="str">
        <x:v>3</x:v>
      </x:c>
      <x:c r="J31" t="str">
        <x:v>2025-08-27</x:v>
      </x:c>
      <x:c r="K31"/>
      <x:c r="L31" t="str">
        <x:v>2025-08-27</x:v>
      </x:c>
      <x:c r="M31" t="str">
        <x:v>-275.0</x:v>
      </x:c>
      <x:c r="N31" t="str">
        <x:v>275.0</x:v>
      </x:c>
      <x:c r="O31" t="str">
        <x:v>เช่ายืม</x:v>
      </x:c>
      <x:c r="P31" t="str">
        <x:v>เช่ายืม</x:v>
      </x:c>
      <x:c r="Q31" t="str">
        <x:v>อยู่ระหว่างเช่ายืม / เกินกำหนดคืน 275 วัน</x:v>
      </x:c>
      <x:c r="R31"/>
      <x:c r="S31" t="str">
        <x:v>31.0</x:v>
      </x:c>
    </x:row>
    <x:row r="32">
      <x:c r="A32" t="str">
        <x:v>R0031</x:v>
      </x:c>
      <x:c r="B32" t="str">
        <x:v>NHBB0023</x:v>
      </x:c>
      <x:c r="C32" t="str">
        <x:v>138515</x:v>
      </x:c>
      <x:c r="D32" t="str">
        <x:v>B.Braun</x:v>
      </x:c>
      <x:c r="E32" t="str">
        <x:v>Infusomat Space</x:v>
      </x:c>
      <x:c r="F32" t="str">
        <x:v>รพ.เชียงรายประชานุเคราะห์</x:v>
      </x:c>
      <x:c r="G32" t="str">
        <x:v>รพ.เชียงรายประชานุเคราะห์</x:v>
      </x:c>
      <x:c r="H32" t="str">
        <x:v>2025-05-27</x:v>
      </x:c>
      <x:c r="I32" t="str">
        <x:v>3</x:v>
      </x:c>
      <x:c r="J32" t="str">
        <x:v>2025-08-27</x:v>
      </x:c>
      <x:c r="K32"/>
      <x:c r="L32" t="str">
        <x:v>2025-08-27</x:v>
      </x:c>
      <x:c r="M32" t="str">
        <x:v>-275.0</x:v>
      </x:c>
      <x:c r="N32" t="str">
        <x:v>275.0</x:v>
      </x:c>
      <x:c r="O32" t="str">
        <x:v>เช่ายืม</x:v>
      </x:c>
      <x:c r="P32" t="str">
        <x:v>เช่ายืม</x:v>
      </x:c>
      <x:c r="Q32" t="str">
        <x:v>อยู่ระหว่างเช่ายืม / เกินกำหนดคืน 275 วัน</x:v>
      </x:c>
      <x:c r="R32"/>
      <x:c r="S32" t="str">
        <x:v>32.0</x:v>
      </x:c>
    </x:row>
    <x:row r="33">
      <x:c r="A33" t="str">
        <x:v>R0032</x:v>
      </x:c>
      <x:c r="B33" t="str">
        <x:v>292437</x:v>
      </x:c>
      <x:c r="C33" t="str">
        <x:v>292437</x:v>
      </x:c>
      <x:c r="D33" t="str">
        <x:v>B.Braun</x:v>
      </x:c>
      <x:c r="E33" t="str">
        <x:v>Infusomat Space</x:v>
      </x:c>
      <x:c r="F33" t="str">
        <x:v>รพ.เชียงรายประชานุเคราะห์</x:v>
      </x:c>
      <x:c r="G33" t="str">
        <x:v>รพ.เชียงรายประชานุเคราะห์</x:v>
      </x:c>
      <x:c r="H33" t="str">
        <x:v>2025-05-27</x:v>
      </x:c>
      <x:c r="I33" t="str">
        <x:v>3</x:v>
      </x:c>
      <x:c r="J33" t="str">
        <x:v>2025-08-27</x:v>
      </x:c>
      <x:c r="K33"/>
      <x:c r="L33" t="str">
        <x:v>2025-08-27</x:v>
      </x:c>
      <x:c r="M33" t="str">
        <x:v>-275.0</x:v>
      </x:c>
      <x:c r="N33" t="str">
        <x:v>275.0</x:v>
      </x:c>
      <x:c r="O33" t="str">
        <x:v>เช่ายืม</x:v>
      </x:c>
      <x:c r="P33" t="str">
        <x:v>เช่ายืม</x:v>
      </x:c>
      <x:c r="Q33" t="str">
        <x:v>อยู่ระหว่างเช่ายืม / เกินกำหนดคืน 275 วัน</x:v>
      </x:c>
      <x:c r="R33"/>
      <x:c r="S33" t="str">
        <x:v>33.0</x:v>
      </x:c>
    </x:row>
    <x:row r="34">
      <x:c r="A34" t="str">
        <x:v>R0033</x:v>
      </x:c>
      <x:c r="B34" t="str">
        <x:v>468698</x:v>
      </x:c>
      <x:c r="C34" t="str">
        <x:v>468698</x:v>
      </x:c>
      <x:c r="D34" t="str">
        <x:v>B.Braun</x:v>
      </x:c>
      <x:c r="E34" t="str">
        <x:v>Infusomat Space</x:v>
      </x:c>
      <x:c r="F34" t="str">
        <x:v>รพ.เชียงรายประชานุเคราะห์</x:v>
      </x:c>
      <x:c r="G34" t="str">
        <x:v>รพ.เชียงรายประชานุเคราะห์</x:v>
      </x:c>
      <x:c r="H34" t="str">
        <x:v>2025-05-27</x:v>
      </x:c>
      <x:c r="I34" t="str">
        <x:v>3</x:v>
      </x:c>
      <x:c r="J34" t="str">
        <x:v>2025-08-27</x:v>
      </x:c>
      <x:c r="K34"/>
      <x:c r="L34" t="str">
        <x:v>2025-08-27</x:v>
      </x:c>
      <x:c r="M34" t="str">
        <x:v>-275.0</x:v>
      </x:c>
      <x:c r="N34" t="str">
        <x:v>275.0</x:v>
      </x:c>
      <x:c r="O34" t="str">
        <x:v>เช่ายืม</x:v>
      </x:c>
      <x:c r="P34" t="str">
        <x:v>เช่ายืม</x:v>
      </x:c>
      <x:c r="Q34" t="str">
        <x:v>อยู่ระหว่างเช่ายืม / เกินกำหนดคืน 275 วัน</x:v>
      </x:c>
      <x:c r="R34"/>
      <x:c r="S34" t="str">
        <x:v>34.0</x:v>
      </x:c>
    </x:row>
    <x:row r="35">
      <x:c r="A35" t="str">
        <x:v>R0034</x:v>
      </x:c>
      <x:c r="B35" t="str">
        <x:v>NHBB0230</x:v>
      </x:c>
      <x:c r="C35" t="str">
        <x:v>335741</x:v>
      </x:c>
      <x:c r="D35" t="str">
        <x:v>B.Braun</x:v>
      </x:c>
      <x:c r="E35" t="str">
        <x:v>Infusomat Space</x:v>
      </x:c>
      <x:c r="F35" t="str">
        <x:v>รพ.เชียงรายประชานุเคราะห์</x:v>
      </x:c>
      <x:c r="G35" t="str">
        <x:v>รพ.เชียงรายประชานุเคราะห์</x:v>
      </x:c>
      <x:c r="H35" t="str">
        <x:v>2025-05-27</x:v>
      </x:c>
      <x:c r="I35" t="str">
        <x:v>3</x:v>
      </x:c>
      <x:c r="J35" t="str">
        <x:v>2025-08-27</x:v>
      </x:c>
      <x:c r="K35"/>
      <x:c r="L35" t="str">
        <x:v>2025-08-27</x:v>
      </x:c>
      <x:c r="M35" t="str">
        <x:v>-275.0</x:v>
      </x:c>
      <x:c r="N35" t="str">
        <x:v>275.0</x:v>
      </x:c>
      <x:c r="O35" t="str">
        <x:v>เช่ายืม</x:v>
      </x:c>
      <x:c r="P35" t="str">
        <x:v>เช่ายืม</x:v>
      </x:c>
      <x:c r="Q35" t="str">
        <x:v>อยู่ระหว่างเช่ายืม / เกินกำหนดคืน 275 วัน</x:v>
      </x:c>
      <x:c r="R35"/>
      <x:c r="S35" t="str">
        <x:v>35.0</x:v>
      </x:c>
    </x:row>
    <x:row r="36">
      <x:c r="A36" t="str">
        <x:v>R0035</x:v>
      </x:c>
      <x:c r="B36" t="str">
        <x:v>NHBB0033</x:v>
      </x:c>
      <x:c r="C36" t="str">
        <x:v>334460</x:v>
      </x:c>
      <x:c r="D36" t="str">
        <x:v>B.Braun</x:v>
      </x:c>
      <x:c r="E36" t="str">
        <x:v>Infusomat Space</x:v>
      </x:c>
      <x:c r="F36" t="str">
        <x:v>รพ.เชียงรายประชานุเคราะห์</x:v>
      </x:c>
      <x:c r="G36" t="str">
        <x:v>รพ.เชียงรายประชานุเคราะห์</x:v>
      </x:c>
      <x:c r="H36" t="str">
        <x:v>2025-05-27</x:v>
      </x:c>
      <x:c r="I36" t="str">
        <x:v>3</x:v>
      </x:c>
      <x:c r="J36" t="str">
        <x:v>2025-08-27</x:v>
      </x:c>
      <x:c r="K36"/>
      <x:c r="L36" t="str">
        <x:v>2025-08-27</x:v>
      </x:c>
      <x:c r="M36" t="str">
        <x:v>-275.0</x:v>
      </x:c>
      <x:c r="N36" t="str">
        <x:v>275.0</x:v>
      </x:c>
      <x:c r="O36" t="str">
        <x:v>เช่ายืม</x:v>
      </x:c>
      <x:c r="P36" t="str">
        <x:v>เช่ายืม</x:v>
      </x:c>
      <x:c r="Q36" t="str">
        <x:v>อยู่ระหว่างเช่ายืม / เกินกำหนดคืน 275 วัน</x:v>
      </x:c>
      <x:c r="R36"/>
      <x:c r="S36" t="str">
        <x:v>36.0</x:v>
      </x:c>
    </x:row>
    <x:row r="37">
      <x:c r="A37" t="str">
        <x:v>R0036</x:v>
      </x:c>
      <x:c r="B37" t="str">
        <x:v>NHBB0008</x:v>
      </x:c>
      <x:c r="C37" t="str">
        <x:v>125548</x:v>
      </x:c>
      <x:c r="D37" t="str">
        <x:v>B.Braun</x:v>
      </x:c>
      <x:c r="E37" t="str">
        <x:v>Infusomat Space</x:v>
      </x:c>
      <x:c r="F37" t="str">
        <x:v>รพ.เชียงรายประชานุเคราะห์</x:v>
      </x:c>
      <x:c r="G37" t="str">
        <x:v>รพ.เชียงรายประชานุเคราะห์</x:v>
      </x:c>
      <x:c r="H37" t="str">
        <x:v>2025-05-27</x:v>
      </x:c>
      <x:c r="I37" t="str">
        <x:v>3</x:v>
      </x:c>
      <x:c r="J37" t="str">
        <x:v>2025-08-27</x:v>
      </x:c>
      <x:c r="K37"/>
      <x:c r="L37" t="str">
        <x:v>2025-08-27</x:v>
      </x:c>
      <x:c r="M37" t="str">
        <x:v>-275.0</x:v>
      </x:c>
      <x:c r="N37" t="str">
        <x:v>275.0</x:v>
      </x:c>
      <x:c r="O37" t="str">
        <x:v>เช่ายืม</x:v>
      </x:c>
      <x:c r="P37" t="str">
        <x:v>เช่ายืม</x:v>
      </x:c>
      <x:c r="Q37" t="str">
        <x:v>อยู่ระหว่างเช่ายืม / เกินกำหนดคืน 275 วัน</x:v>
      </x:c>
      <x:c r="R37"/>
      <x:c r="S37" t="str">
        <x:v>37.0</x:v>
      </x:c>
    </x:row>
    <x:row r="38">
      <x:c r="A38" t="str">
        <x:v>R0037</x:v>
      </x:c>
      <x:c r="B38" t="str">
        <x:v>334632</x:v>
      </x:c>
      <x:c r="C38" t="str">
        <x:v>334632</x:v>
      </x:c>
      <x:c r="D38" t="str">
        <x:v>B.Braun</x:v>
      </x:c>
      <x:c r="E38" t="str">
        <x:v>Infusomat Space</x:v>
      </x:c>
      <x:c r="F38" t="str">
        <x:v>รพ.เชียงรายประชานุเคราะห์</x:v>
      </x:c>
      <x:c r="G38" t="str">
        <x:v>รพ.เชียงรายประชานุเคราะห์</x:v>
      </x:c>
      <x:c r="H38" t="str">
        <x:v>2025-05-27</x:v>
      </x:c>
      <x:c r="I38" t="str">
        <x:v>3</x:v>
      </x:c>
      <x:c r="J38" t="str">
        <x:v>2025-08-27</x:v>
      </x:c>
      <x:c r="K38"/>
      <x:c r="L38" t="str">
        <x:v>2025-08-27</x:v>
      </x:c>
      <x:c r="M38" t="str">
        <x:v>-275.0</x:v>
      </x:c>
      <x:c r="N38" t="str">
        <x:v>275.0</x:v>
      </x:c>
      <x:c r="O38" t="str">
        <x:v>เช่ายืม</x:v>
      </x:c>
      <x:c r="P38" t="str">
        <x:v>เช่ายืม</x:v>
      </x:c>
      <x:c r="Q38" t="str">
        <x:v>อยู่ระหว่างเช่ายืม / เกินกำหนดคืน 275 วัน</x:v>
      </x:c>
      <x:c r="R38"/>
      <x:c r="S38" t="str">
        <x:v>38.0</x:v>
      </x:c>
    </x:row>
    <x:row r="39">
      <x:c r="A39" t="str">
        <x:v>R0038</x:v>
      </x:c>
      <x:c r="B39" t="str">
        <x:v>NHBB0384</x:v>
      </x:c>
      <x:c r="C39" t="str">
        <x:v>468533</x:v>
      </x:c>
      <x:c r="D39" t="str">
        <x:v>B.Braun</x:v>
      </x:c>
      <x:c r="E39" t="str">
        <x:v>Infusomat Space</x:v>
      </x:c>
      <x:c r="F39" t="str">
        <x:v>รพ.วันเวลา</x:v>
      </x:c>
      <x:c r="G39" t="str">
        <x:v>รพ.วันเวลา</x:v>
      </x:c>
      <x:c r="H39" t="str">
        <x:v>2025-06-12</x:v>
      </x:c>
      <x:c r="I39" t="str">
        <x:v>5</x:v>
      </x:c>
      <x:c r="J39" t="str">
        <x:v>2025-11-12</x:v>
      </x:c>
      <x:c r="K39"/>
      <x:c r="L39" t="str">
        <x:v>2025-11-12</x:v>
      </x:c>
      <x:c r="M39" t="str">
        <x:v>-198.0</x:v>
      </x:c>
      <x:c r="N39" t="str">
        <x:v>198.0</x:v>
      </x:c>
      <x:c r="O39" t="str">
        <x:v>เช่ายืม</x:v>
      </x:c>
      <x:c r="P39" t="str">
        <x:v>เช่ายืม</x:v>
      </x:c>
      <x:c r="Q39" t="str">
        <x:v>อยู่ระหว่างเช่ายืม / เกินกำหนดคืน 198 วัน</x:v>
      </x:c>
      <x:c r="R39"/>
      <x:c r="S39" t="str">
        <x:v>39.0</x:v>
      </x:c>
    </x:row>
    <x:row r="40">
      <x:c r="A40" t="str">
        <x:v>R0039</x:v>
      </x:c>
      <x:c r="B40" t="str">
        <x:v>NHBB0163</x:v>
      </x:c>
      <x:c r="C40" t="str">
        <x:v>201464</x:v>
      </x:c>
      <x:c r="D40" t="str">
        <x:v>B.Braun</x:v>
      </x:c>
      <x:c r="E40" t="str">
        <x:v>Infusomat Space</x:v>
      </x:c>
      <x:c r="F40" t="str">
        <x:v>รพ.วันเวลา</x:v>
      </x:c>
      <x:c r="G40" t="str">
        <x:v>รพ.วันเวลา</x:v>
      </x:c>
      <x:c r="H40" t="str">
        <x:v>2025-06-12</x:v>
      </x:c>
      <x:c r="I40" t="str">
        <x:v>5</x:v>
      </x:c>
      <x:c r="J40" t="str">
        <x:v>2025-11-12</x:v>
      </x:c>
      <x:c r="K40"/>
      <x:c r="L40" t="str">
        <x:v>2025-11-12</x:v>
      </x:c>
      <x:c r="M40" t="str">
        <x:v>-198.0</x:v>
      </x:c>
      <x:c r="N40" t="str">
        <x:v>198.0</x:v>
      </x:c>
      <x:c r="O40" t="str">
        <x:v>เช่ายืม</x:v>
      </x:c>
      <x:c r="P40" t="str">
        <x:v>เช่ายืม</x:v>
      </x:c>
      <x:c r="Q40" t="str">
        <x:v>อยู่ระหว่างเช่ายืม / เกินกำหนดคืน 198 วัน</x:v>
      </x:c>
      <x:c r="R40"/>
      <x:c r="S40" t="str">
        <x:v>40.0</x:v>
      </x:c>
    </x:row>
    <x:row r="41">
      <x:c r="A41" t="str">
        <x:v>R0040</x:v>
      </x:c>
      <x:c r="B41" t="str">
        <x:v>NHBB0174</x:v>
      </x:c>
      <x:c r="C41" t="str">
        <x:v>201380</x:v>
      </x:c>
      <x:c r="D41" t="str">
        <x:v>B.Braun</x:v>
      </x:c>
      <x:c r="E41" t="str">
        <x:v>Infusomat Space</x:v>
      </x:c>
      <x:c r="F41" t="str">
        <x:v>รพ.วันเวลา</x:v>
      </x:c>
      <x:c r="G41" t="str">
        <x:v>รพ.วันเวลา</x:v>
      </x:c>
      <x:c r="H41" t="str">
        <x:v>2025-06-12</x:v>
      </x:c>
      <x:c r="I41" t="str">
        <x:v>5</x:v>
      </x:c>
      <x:c r="J41" t="str">
        <x:v>2025-11-12</x:v>
      </x:c>
      <x:c r="K41"/>
      <x:c r="L41" t="str">
        <x:v>2025-11-12</x:v>
      </x:c>
      <x:c r="M41" t="str">
        <x:v>-198.0</x:v>
      </x:c>
      <x:c r="N41" t="str">
        <x:v>198.0</x:v>
      </x:c>
      <x:c r="O41" t="str">
        <x:v>เช่ายืม</x:v>
      </x:c>
      <x:c r="P41" t="str">
        <x:v>เช่ายืม</x:v>
      </x:c>
      <x:c r="Q41" t="str">
        <x:v>อยู่ระหว่างเช่ายืม / เกินกำหนดคืน 198 วัน</x:v>
      </x:c>
      <x:c r="R41"/>
      <x:c r="S41" t="str">
        <x:v>41.0</x:v>
      </x:c>
    </x:row>
    <x:row r="42">
      <x:c r="A42" t="str">
        <x:v>R0041</x:v>
      </x:c>
      <x:c r="B42" t="str">
        <x:v>NHBB0464</x:v>
      </x:c>
      <x:c r="C42" t="str">
        <x:v>138601</x:v>
      </x:c>
      <x:c r="D42" t="str">
        <x:v>B.Braun</x:v>
      </x:c>
      <x:c r="E42" t="str">
        <x:v>Infusomat Space</x:v>
      </x:c>
      <x:c r="F42" t="str">
        <x:v>รพ.วันเวลา</x:v>
      </x:c>
      <x:c r="G42" t="str">
        <x:v>รพ.วันเวลา</x:v>
      </x:c>
      <x:c r="H42" t="str">
        <x:v>2025-06-12</x:v>
      </x:c>
      <x:c r="I42" t="str">
        <x:v>5</x:v>
      </x:c>
      <x:c r="J42" t="str">
        <x:v>2025-11-12</x:v>
      </x:c>
      <x:c r="K42"/>
      <x:c r="L42" t="str">
        <x:v>2025-11-12</x:v>
      </x:c>
      <x:c r="M42" t="str">
        <x:v>-198.0</x:v>
      </x:c>
      <x:c r="N42" t="str">
        <x:v>198.0</x:v>
      </x:c>
      <x:c r="O42" t="str">
        <x:v>เช่ายืม</x:v>
      </x:c>
      <x:c r="P42" t="str">
        <x:v>เช่ายืม</x:v>
      </x:c>
      <x:c r="Q42" t="str">
        <x:v>อยู่ระหว่างเช่ายืม / เกินกำหนดคืน 198 วัน</x:v>
      </x:c>
      <x:c r="R42"/>
      <x:c r="S42" t="str">
        <x:v>42.0</x:v>
      </x:c>
    </x:row>
    <x:row r="43">
      <x:c r="A43" t="str">
        <x:v>R0042</x:v>
      </x:c>
      <x:c r="B43" t="str">
        <x:v>NHBB0119</x:v>
      </x:c>
      <x:c r="C43" t="str">
        <x:v>255130</x:v>
      </x:c>
      <x:c r="D43" t="str">
        <x:v>B.Braun</x:v>
      </x:c>
      <x:c r="E43" t="str">
        <x:v>Infusomat Space</x:v>
      </x:c>
      <x:c r="F43" t="str">
        <x:v>รพ.วันเวลา</x:v>
      </x:c>
      <x:c r="G43" t="str">
        <x:v>รพ.วันเวลา</x:v>
      </x:c>
      <x:c r="H43" t="str">
        <x:v>2025-06-12</x:v>
      </x:c>
      <x:c r="I43" t="str">
        <x:v>5</x:v>
      </x:c>
      <x:c r="J43" t="str">
        <x:v>2025-11-12</x:v>
      </x:c>
      <x:c r="K43"/>
      <x:c r="L43" t="str">
        <x:v>2025-11-12</x:v>
      </x:c>
      <x:c r="M43" t="str">
        <x:v>-198.0</x:v>
      </x:c>
      <x:c r="N43" t="str">
        <x:v>198.0</x:v>
      </x:c>
      <x:c r="O43" t="str">
        <x:v>เช่ายืม</x:v>
      </x:c>
      <x:c r="P43" t="str">
        <x:v>เช่ายืม</x:v>
      </x:c>
      <x:c r="Q43" t="str">
        <x:v>อยู่ระหว่างเช่ายืม / เกินกำหนดคืน 198 วัน</x:v>
      </x:c>
      <x:c r="R43"/>
      <x:c r="S43" t="str">
        <x:v>43.0</x:v>
      </x:c>
    </x:row>
    <x:row r="44">
      <x:c r="A44" t="str">
        <x:v>R0043</x:v>
      </x:c>
      <x:c r="B44" t="str">
        <x:v>CESR00075</x:v>
      </x:c>
      <x:c r="C44" t="str">
        <x:v>21123050084</x:v>
      </x:c>
      <x:c r="D44" t="str">
        <x:v>BYOND</x:v>
      </x:c>
      <x:c r="E44" t="str">
        <x:v>Sunfusion Semi-2</x:v>
      </x:c>
      <x:c r="F44" t="str">
        <x:v>รพ.พิษณุเวษ อุตรติด</x:v>
      </x:c>
      <x:c r="G44" t="str">
        <x:v>รพ.พิษณุเวษ อุตรติด</x:v>
      </x:c>
      <x:c r="H44" t="str">
        <x:v>2025-06-23</x:v>
      </x:c>
      <x:c r="I44" t="str">
        <x:v>12</x:v>
      </x:c>
      <x:c r="J44" t="str">
        <x:v>2026-06-23</x:v>
      </x:c>
      <x:c r="K44" t="str">
        <x:v>46171.0</x:v>
      </x:c>
      <x:c r="L44" t="str">
        <x:v>2026-06-23</x:v>
      </x:c>
      <x:c r="M44" t="str">
        <x:v>25.0</x:v>
      </x:c>
      <x:c r="N44" t="str">
        <x:v>0.0</x:v>
      </x:c>
      <x:c r="O44" t="str">
        <x:v>คืนแล้ว</x:v>
      </x:c>
      <x:c r="P44" t="str">
        <x:v>รอสอบเทียบ</x:v>
      </x:c>
      <x:c r="Q44" t="str">
        <x:v>Returned</x:v>
      </x:c>
      <x:c r="R44" t="str">
        <x:v>Return from web</x:v>
      </x:c>
      <x:c r="S44" t="str">
        <x:v>44.0</x:v>
      </x:c>
    </x:row>
    <x:row r="45">
      <x:c r="A45" t="str">
        <x:v>R0044</x:v>
      </x:c>
      <x:c r="B45" t="str">
        <x:v>CESR00076</x:v>
      </x:c>
      <x:c r="C45" t="str">
        <x:v>21123050085</x:v>
      </x:c>
      <x:c r="D45" t="str">
        <x:v>BYOND</x:v>
      </x:c>
      <x:c r="E45" t="str">
        <x:v>Sunfusion Semi-2</x:v>
      </x:c>
      <x:c r="F45" t="str">
        <x:v>รพ.พิษณุเวษ อุตรติด</x:v>
      </x:c>
      <x:c r="G45" t="str">
        <x:v>รพ.พิษณุเวษ อุตรติด</x:v>
      </x:c>
      <x:c r="H45" t="str">
        <x:v>2025-06-23</x:v>
      </x:c>
      <x:c r="I45" t="str">
        <x:v>12</x:v>
      </x:c>
      <x:c r="J45" t="str">
        <x:v>2026-06-23</x:v>
      </x:c>
      <x:c r="K45" t="str">
        <x:v>46171.0</x:v>
      </x:c>
      <x:c r="L45" t="str">
        <x:v>2026-06-23</x:v>
      </x:c>
      <x:c r="M45" t="str">
        <x:v>25.0</x:v>
      </x:c>
      <x:c r="N45" t="str">
        <x:v>0.0</x:v>
      </x:c>
      <x:c r="O45" t="str">
        <x:v>คืนแล้ว</x:v>
      </x:c>
      <x:c r="P45" t="str">
        <x:v>รอสอบเทียบ</x:v>
      </x:c>
      <x:c r="Q45" t="str">
        <x:v>Returned</x:v>
      </x:c>
      <x:c r="R45" t="str">
        <x:v>Return from web</x:v>
      </x:c>
      <x:c r="S45" t="str">
        <x:v>45.0</x:v>
      </x:c>
    </x:row>
    <x:row r="46">
      <x:c r="A46" t="str">
        <x:v>R0045</x:v>
      </x:c>
      <x:c r="B46" t="str">
        <x:v>CESR00078</x:v>
      </x:c>
      <x:c r="C46" t="str">
        <x:v>21123050088</x:v>
      </x:c>
      <x:c r="D46" t="str">
        <x:v>BYOND</x:v>
      </x:c>
      <x:c r="E46" t="str">
        <x:v>Sunfusion Semi-2</x:v>
      </x:c>
      <x:c r="F46" t="str">
        <x:v>รพ.พิษณุเวษ อุตรติด</x:v>
      </x:c>
      <x:c r="G46" t="str">
        <x:v>รพ.พิษณุเวษ อุตรติด</x:v>
      </x:c>
      <x:c r="H46" t="str">
        <x:v>2025-06-23</x:v>
      </x:c>
      <x:c r="I46" t="str">
        <x:v>12</x:v>
      </x:c>
      <x:c r="J46" t="str">
        <x:v>2026-06-23</x:v>
      </x:c>
      <x:c r="K46" t="str">
        <x:v>46171.0</x:v>
      </x:c>
      <x:c r="L46" t="str">
        <x:v>2026-06-23</x:v>
      </x:c>
      <x:c r="M46" t="str">
        <x:v>25.0</x:v>
      </x:c>
      <x:c r="N46" t="str">
        <x:v>0.0</x:v>
      </x:c>
      <x:c r="O46" t="str">
        <x:v>คืนแล้ว</x:v>
      </x:c>
      <x:c r="P46" t="str">
        <x:v>รอสอบเทียบ</x:v>
      </x:c>
      <x:c r="Q46" t="str">
        <x:v>Returned</x:v>
      </x:c>
      <x:c r="R46" t="str">
        <x:v>Return from web</x:v>
      </x:c>
      <x:c r="S46" t="str">
        <x:v>46.0</x:v>
      </x:c>
    </x:row>
    <x:row r="47">
      <x:c r="A47" t="str">
        <x:v>R0046</x:v>
      </x:c>
      <x:c r="B47" t="str">
        <x:v>CESR00079</x:v>
      </x:c>
      <x:c r="C47" t="str">
        <x:v>21123050090</x:v>
      </x:c>
      <x:c r="D47" t="str">
        <x:v>BYOND</x:v>
      </x:c>
      <x:c r="E47" t="str">
        <x:v>Sunfusion Semi-2</x:v>
      </x:c>
      <x:c r="F47" t="str">
        <x:v>รพ.พิษณุเวษ อุตรติด</x:v>
      </x:c>
      <x:c r="G47" t="str">
        <x:v>รพ.พิษณุเวษ อุตรติด</x:v>
      </x:c>
      <x:c r="H47" t="str">
        <x:v>2025-06-23</x:v>
      </x:c>
      <x:c r="I47" t="str">
        <x:v>12</x:v>
      </x:c>
      <x:c r="J47" t="str">
        <x:v>2026-06-23</x:v>
      </x:c>
      <x:c r="K47" t="str">
        <x:v>46171.0</x:v>
      </x:c>
      <x:c r="L47" t="str">
        <x:v>2026-06-23</x:v>
      </x:c>
      <x:c r="M47" t="str">
        <x:v>25.0</x:v>
      </x:c>
      <x:c r="N47" t="str">
        <x:v>0.0</x:v>
      </x:c>
      <x:c r="O47" t="str">
        <x:v>คืนแล้ว</x:v>
      </x:c>
      <x:c r="P47" t="str">
        <x:v>รอสอบเทียบ</x:v>
      </x:c>
      <x:c r="Q47" t="str">
        <x:v>Returned</x:v>
      </x:c>
      <x:c r="R47" t="str">
        <x:v>Return from web</x:v>
      </x:c>
      <x:c r="S47" t="str">
        <x:v>47.0</x:v>
      </x:c>
    </x:row>
    <x:row r="48">
      <x:c r="A48" t="str">
        <x:v>R0047</x:v>
      </x:c>
      <x:c r="B48" t="str">
        <x:v>CESR00080</x:v>
      </x:c>
      <x:c r="C48" t="str">
        <x:v>21123050091</x:v>
      </x:c>
      <x:c r="D48" t="str">
        <x:v>BYOND</x:v>
      </x:c>
      <x:c r="E48" t="str">
        <x:v>Sunfusion Semi-2</x:v>
      </x:c>
      <x:c r="F48" t="str">
        <x:v>รพ.พิษณุเวษ อุตรติด</x:v>
      </x:c>
      <x:c r="G48" t="str">
        <x:v>รพ.พิษณุเวษ อุตรติด</x:v>
      </x:c>
      <x:c r="H48" t="str">
        <x:v>2025-06-23</x:v>
      </x:c>
      <x:c r="I48" t="str">
        <x:v>12</x:v>
      </x:c>
      <x:c r="J48" t="str">
        <x:v>2026-06-23</x:v>
      </x:c>
      <x:c r="K48" t="str">
        <x:v>46171.0</x:v>
      </x:c>
      <x:c r="L48" t="str">
        <x:v>2026-06-23</x:v>
      </x:c>
      <x:c r="M48" t="str">
        <x:v>25.0</x:v>
      </x:c>
      <x:c r="N48" t="str">
        <x:v>0.0</x:v>
      </x:c>
      <x:c r="O48" t="str">
        <x:v>คืนแล้ว</x:v>
      </x:c>
      <x:c r="P48" t="str">
        <x:v>รอสอบเทียบ</x:v>
      </x:c>
      <x:c r="Q48" t="str">
        <x:v>Returned</x:v>
      </x:c>
      <x:c r="R48" t="str">
        <x:v>Return from web</x:v>
      </x:c>
      <x:c r="S48" t="str">
        <x:v>48.0</x:v>
      </x:c>
    </x:row>
    <x:row r="49">
      <x:c r="A49" t="str">
        <x:v>R0048</x:v>
      </x:c>
      <x:c r="B49" t="str">
        <x:v>CESR00070</x:v>
      </x:c>
      <x:c r="C49" t="str">
        <x:v>21123050079</x:v>
      </x:c>
      <x:c r="D49" t="str">
        <x:v>BYOND</x:v>
      </x:c>
      <x:c r="E49" t="str">
        <x:v>Sunfusion Semi-2</x:v>
      </x:c>
      <x:c r="F49" t="str">
        <x:v>รพ.พิษณุเวษ อุตรติด</x:v>
      </x:c>
      <x:c r="G49" t="str">
        <x:v>รพ.พิษณุเวษ อุตรติด</x:v>
      </x:c>
      <x:c r="H49" t="str">
        <x:v>2025-06-23</x:v>
      </x:c>
      <x:c r="I49" t="str">
        <x:v>12</x:v>
      </x:c>
      <x:c r="J49" t="str">
        <x:v>2026-06-23</x:v>
      </x:c>
      <x:c r="K49" t="str">
        <x:v>46171.0</x:v>
      </x:c>
      <x:c r="L49" t="str">
        <x:v>2026-06-23</x:v>
      </x:c>
      <x:c r="M49" t="str">
        <x:v>25.0</x:v>
      </x:c>
      <x:c r="N49" t="str">
        <x:v>0.0</x:v>
      </x:c>
      <x:c r="O49" t="str">
        <x:v>คืนแล้ว</x:v>
      </x:c>
      <x:c r="P49" t="str">
        <x:v>รอสอบเทียบ</x:v>
      </x:c>
      <x:c r="Q49" t="str">
        <x:v>Returned</x:v>
      </x:c>
      <x:c r="R49" t="str">
        <x:v>Return from web</x:v>
      </x:c>
      <x:c r="S49" t="str">
        <x:v>49.0</x:v>
      </x:c>
    </x:row>
    <x:row r="50">
      <x:c r="A50" t="str">
        <x:v>R0049</x:v>
      </x:c>
      <x:c r="B50" t="str">
        <x:v>CESR00071</x:v>
      </x:c>
      <x:c r="C50" t="str">
        <x:v>21123050080</x:v>
      </x:c>
      <x:c r="D50" t="str">
        <x:v>BYOND</x:v>
      </x:c>
      <x:c r="E50" t="str">
        <x:v>Sunfusion Semi-2</x:v>
      </x:c>
      <x:c r="F50" t="str">
        <x:v>รพ.พิษณุเวษ อุตรติด</x:v>
      </x:c>
      <x:c r="G50" t="str">
        <x:v>รพ.พิษณุเวษ อุตรติด</x:v>
      </x:c>
      <x:c r="H50" t="str">
        <x:v>2025-06-23</x:v>
      </x:c>
      <x:c r="I50" t="str">
        <x:v>12</x:v>
      </x:c>
      <x:c r="J50" t="str">
        <x:v>2026-06-23</x:v>
      </x:c>
      <x:c r="K50" t="str">
        <x:v>46171.0</x:v>
      </x:c>
      <x:c r="L50" t="str">
        <x:v>2026-06-23</x:v>
      </x:c>
      <x:c r="M50" t="str">
        <x:v>25.0</x:v>
      </x:c>
      <x:c r="N50" t="str">
        <x:v>0.0</x:v>
      </x:c>
      <x:c r="O50" t="str">
        <x:v>คืนแล้ว</x:v>
      </x:c>
      <x:c r="P50" t="str">
        <x:v>รอสอบเทียบ</x:v>
      </x:c>
      <x:c r="Q50" t="str">
        <x:v>Returned</x:v>
      </x:c>
      <x:c r="R50" t="str">
        <x:v>Return from web</x:v>
      </x:c>
      <x:c r="S50" t="str">
        <x:v>50.0</x:v>
      </x:c>
    </x:row>
    <x:row r="51">
      <x:c r="A51" t="str">
        <x:v>R0050</x:v>
      </x:c>
      <x:c r="B51" t="str">
        <x:v>CESR00072</x:v>
      </x:c>
      <x:c r="C51" t="str">
        <x:v>21123050081</x:v>
      </x:c>
      <x:c r="D51" t="str">
        <x:v>BYOND</x:v>
      </x:c>
      <x:c r="E51" t="str">
        <x:v>Sunfusion Semi-2</x:v>
      </x:c>
      <x:c r="F51" t="str">
        <x:v>รพ.พิษณุเวษ อุตรติด</x:v>
      </x:c>
      <x:c r="G51" t="str">
        <x:v>รพ.พิษณุเวษ อุตรติด</x:v>
      </x:c>
      <x:c r="H51" t="str">
        <x:v>2025-06-23</x:v>
      </x:c>
      <x:c r="I51" t="str">
        <x:v>12</x:v>
      </x:c>
      <x:c r="J51" t="str">
        <x:v>2026-06-23</x:v>
      </x:c>
      <x:c r="K51" t="str">
        <x:v>46171.0</x:v>
      </x:c>
      <x:c r="L51" t="str">
        <x:v>2026-06-23</x:v>
      </x:c>
      <x:c r="M51" t="str">
        <x:v>25.0</x:v>
      </x:c>
      <x:c r="N51" t="str">
        <x:v>0.0</x:v>
      </x:c>
      <x:c r="O51" t="str">
        <x:v>คืนแล้ว</x:v>
      </x:c>
      <x:c r="P51" t="str">
        <x:v>รอสอบเทียบ</x:v>
      </x:c>
      <x:c r="Q51" t="str">
        <x:v>Returned</x:v>
      </x:c>
      <x:c r="R51" t="str">
        <x:v>Return from web</x:v>
      </x:c>
      <x:c r="S51" t="str">
        <x:v>51.0</x:v>
      </x:c>
    </x:row>
    <x:row r="52">
      <x:c r="A52" t="str">
        <x:v>R0051</x:v>
      </x:c>
      <x:c r="B52" t="str">
        <x:v>CESR00073</x:v>
      </x:c>
      <x:c r="C52" t="str">
        <x:v>21123050082</x:v>
      </x:c>
      <x:c r="D52" t="str">
        <x:v>BYOND</x:v>
      </x:c>
      <x:c r="E52" t="str">
        <x:v>Sunfusion Semi-2</x:v>
      </x:c>
      <x:c r="F52" t="str">
        <x:v>รพ.พิษณุเวษ อุตรติด</x:v>
      </x:c>
      <x:c r="G52" t="str">
        <x:v>รพ.พิษณุเวษ อุตรติด</x:v>
      </x:c>
      <x:c r="H52" t="str">
        <x:v>2025-06-23</x:v>
      </x:c>
      <x:c r="I52" t="str">
        <x:v>12</x:v>
      </x:c>
      <x:c r="J52" t="str">
        <x:v>2026-06-23</x:v>
      </x:c>
      <x:c r="K52" t="str">
        <x:v>46171.0</x:v>
      </x:c>
      <x:c r="L52" t="str">
        <x:v>2026-06-23</x:v>
      </x:c>
      <x:c r="M52" t="str">
        <x:v>25.0</x:v>
      </x:c>
      <x:c r="N52" t="str">
        <x:v>0.0</x:v>
      </x:c>
      <x:c r="O52" t="str">
        <x:v>คืนแล้ว</x:v>
      </x:c>
      <x:c r="P52" t="str">
        <x:v>รอสอบเทียบ</x:v>
      </x:c>
      <x:c r="Q52" t="str">
        <x:v>Returned</x:v>
      </x:c>
      <x:c r="R52" t="str">
        <x:v>Return from web</x:v>
      </x:c>
      <x:c r="S52" t="str">
        <x:v>52.0</x:v>
      </x:c>
    </x:row>
    <x:row r="53">
      <x:c r="A53" t="str">
        <x:v>R0052</x:v>
      </x:c>
      <x:c r="B53" t="str">
        <x:v>CESR00074</x:v>
      </x:c>
      <x:c r="C53" t="str">
        <x:v>21123050083</x:v>
      </x:c>
      <x:c r="D53" t="str">
        <x:v>BYOND</x:v>
      </x:c>
      <x:c r="E53" t="str">
        <x:v>Sunfusion Semi-2</x:v>
      </x:c>
      <x:c r="F53" t="str">
        <x:v>รพ.พิษณุเวษ อุตรติด</x:v>
      </x:c>
      <x:c r="G53" t="str">
        <x:v>รพ.พิษณุเวษ อุตรติด</x:v>
      </x:c>
      <x:c r="H53" t="str">
        <x:v>2025-06-23</x:v>
      </x:c>
      <x:c r="I53" t="str">
        <x:v>12</x:v>
      </x:c>
      <x:c r="J53" t="str">
        <x:v>2026-06-23</x:v>
      </x:c>
      <x:c r="K53" t="str">
        <x:v>46171.0</x:v>
      </x:c>
      <x:c r="L53" t="str">
        <x:v>2026-06-23</x:v>
      </x:c>
      <x:c r="M53" t="str">
        <x:v>25.0</x:v>
      </x:c>
      <x:c r="N53" t="str">
        <x:v>0.0</x:v>
      </x:c>
      <x:c r="O53" t="str">
        <x:v>คืนแล้ว</x:v>
      </x:c>
      <x:c r="P53" t="str">
        <x:v>รอสอบเทียบ</x:v>
      </x:c>
      <x:c r="Q53" t="str">
        <x:v>Returned</x:v>
      </x:c>
      <x:c r="R53" t="str">
        <x:v>Return from web</x:v>
      </x:c>
      <x:c r="S53" t="str">
        <x:v>53.0</x:v>
      </x:c>
    </x:row>
    <x:row r="54">
      <x:c r="A54" t="str">
        <x:v>R0053</x:v>
      </x:c>
      <x:c r="B54" t="str">
        <x:v>CESR00022</x:v>
      </x:c>
      <x:c r="C54" t="str">
        <x:v>21123050018</x:v>
      </x:c>
      <x:c r="D54" t="str">
        <x:v>BYOND</x:v>
      </x:c>
      <x:c r="E54" t="str">
        <x:v>Sunfusion Semi-2</x:v>
      </x:c>
      <x:c r="F54" t="str">
        <x:v>รพ.สูงเนิน</x:v>
      </x:c>
      <x:c r="G54" t="str">
        <x:v>รพ.สูงเนิน</x:v>
      </x:c>
      <x:c r="H54" t="str">
        <x:v>2025-09-17</x:v>
      </x:c>
      <x:c r="I54" t="str">
        <x:v>12</x:v>
      </x:c>
      <x:c r="J54" t="str">
        <x:v>2026-09-17</x:v>
      </x:c>
      <x:c r="K54"/>
      <x:c r="L54" t="str">
        <x:v>2026-09-17</x:v>
      </x:c>
      <x:c r="M54" t="str">
        <x:v>111.0</x:v>
      </x:c>
      <x:c r="N54" t="str">
        <x:v>0.0</x:v>
      </x:c>
      <x:c r="O54" t="str">
        <x:v>เช่ายืม</x:v>
      </x:c>
      <x:c r="P54" t="str">
        <x:v>เช่ายืม</x:v>
      </x:c>
      <x:c r="Q54" t="str">
        <x:v>No action</x:v>
      </x:c>
      <x:c r="R54" t="str">
        <x:v>ส่ง 10 + Demo สำรอง 2เครื้่อง</x:v>
      </x:c>
      <x:c r="S54" t="str">
        <x:v>54.0</x:v>
      </x:c>
    </x:row>
    <x:row r="55">
      <x:c r="A55" t="str">
        <x:v>R0054</x:v>
      </x:c>
      <x:c r="B55" t="str">
        <x:v>CESR00033</x:v>
      </x:c>
      <x:c r="C55" t="str">
        <x:v>21123050033</x:v>
      </x:c>
      <x:c r="D55" t="str">
        <x:v>BYOND</x:v>
      </x:c>
      <x:c r="E55" t="str">
        <x:v>Sunfusion Semi-2</x:v>
      </x:c>
      <x:c r="F55" t="str">
        <x:v>รพ.สูงเนิน</x:v>
      </x:c>
      <x:c r="G55" t="str">
        <x:v>รพ.สูงเนิน</x:v>
      </x:c>
      <x:c r="H55" t="str">
        <x:v>2025-09-17</x:v>
      </x:c>
      <x:c r="I55" t="str">
        <x:v>12</x:v>
      </x:c>
      <x:c r="J55" t="str">
        <x:v>2026-09-17</x:v>
      </x:c>
      <x:c r="K55"/>
      <x:c r="L55" t="str">
        <x:v>2026-09-17</x:v>
      </x:c>
      <x:c r="M55" t="str">
        <x:v>111.0</x:v>
      </x:c>
      <x:c r="N55" t="str">
        <x:v>0.0</x:v>
      </x:c>
      <x:c r="O55" t="str">
        <x:v>เช่ายืม</x:v>
      </x:c>
      <x:c r="P55" t="str">
        <x:v>เช่ายืม</x:v>
      </x:c>
      <x:c r="Q55" t="str">
        <x:v>No action</x:v>
      </x:c>
      <x:c r="R55" t="str">
        <x:v>ส่ง 10 + Demo สำรอง 2เครื้่อง</x:v>
      </x:c>
      <x:c r="S55" t="str">
        <x:v>55.0</x:v>
      </x:c>
    </x:row>
    <x:row r="56">
      <x:c r="A56" t="str">
        <x:v>R0055</x:v>
      </x:c>
      <x:c r="B56" t="str">
        <x:v>CESR00058</x:v>
      </x:c>
      <x:c r="C56" t="str">
        <x:v>21122120489</x:v>
      </x:c>
      <x:c r="D56" t="str">
        <x:v>BYOND</x:v>
      </x:c>
      <x:c r="E56" t="str">
        <x:v>Sunfusion Semi-2</x:v>
      </x:c>
      <x:c r="F56" t="str">
        <x:v>รพ.สูงเนิน</x:v>
      </x:c>
      <x:c r="G56" t="str">
        <x:v>รพ.สูงเนิน</x:v>
      </x:c>
      <x:c r="H56" t="str">
        <x:v>2025-09-17</x:v>
      </x:c>
      <x:c r="I56" t="str">
        <x:v>12</x:v>
      </x:c>
      <x:c r="J56" t="str">
        <x:v>2026-09-17</x:v>
      </x:c>
      <x:c r="K56" t="str">
        <x:v>46171.0</x:v>
      </x:c>
      <x:c r="L56" t="str">
        <x:v>2026-09-17</x:v>
      </x:c>
      <x:c r="M56" t="str">
        <x:v>111.0</x:v>
      </x:c>
      <x:c r="N56" t="str">
        <x:v>0.0</x:v>
      </x:c>
      <x:c r="O56" t="str">
        <x:v>คืนแล้ว</x:v>
      </x:c>
      <x:c r="P56" t="str">
        <x:v>รอสอบเทียบ</x:v>
      </x:c>
      <x:c r="Q56" t="str">
        <x:v>Returned</x:v>
      </x:c>
      <x:c r="R56" t="str">
        <x:v>Return from web</x:v>
      </x:c>
      <x:c r="S56" t="str">
        <x:v>56.0</x:v>
      </x:c>
    </x:row>
    <x:row r="57">
      <x:c r="A57" t="str">
        <x:v>R0056</x:v>
      </x:c>
      <x:c r="B57" t="str">
        <x:v>CESR00099</x:v>
      </x:c>
      <x:c r="C57" t="str">
        <x:v>21123050111</x:v>
      </x:c>
      <x:c r="D57" t="str">
        <x:v>BYOND</x:v>
      </x:c>
      <x:c r="E57" t="str">
        <x:v>Sunfusion Semi-2</x:v>
      </x:c>
      <x:c r="F57" t="str">
        <x:v>รพ.สูงเนิน</x:v>
      </x:c>
      <x:c r="G57" t="str">
        <x:v>รพ.สูงเนิน</x:v>
      </x:c>
      <x:c r="H57" t="str">
        <x:v>2025-09-17</x:v>
      </x:c>
      <x:c r="I57" t="str">
        <x:v>12</x:v>
      </x:c>
      <x:c r="J57" t="str">
        <x:v>2026-09-17</x:v>
      </x:c>
      <x:c r="K57"/>
      <x:c r="L57" t="str">
        <x:v>2026-09-17</x:v>
      </x:c>
      <x:c r="M57" t="str">
        <x:v>111.0</x:v>
      </x:c>
      <x:c r="N57" t="str">
        <x:v>0.0</x:v>
      </x:c>
      <x:c r="O57" t="str">
        <x:v>เช่ายืม</x:v>
      </x:c>
      <x:c r="P57" t="str">
        <x:v>เช่ายืม</x:v>
      </x:c>
      <x:c r="Q57" t="str">
        <x:v>No action</x:v>
      </x:c>
      <x:c r="R57" t="str">
        <x:v>ส่ง 10 + Demo สำรอง 2เครื้่อง</x:v>
      </x:c>
      <x:c r="S57" t="str">
        <x:v>57.0</x:v>
      </x:c>
    </x:row>
    <x:row r="58">
      <x:c r="A58" t="str">
        <x:v>R0057</x:v>
      </x:c>
      <x:c r="B58" t="str">
        <x:v>CESR00106</x:v>
      </x:c>
      <x:c r="C58" t="str">
        <x:v>21123050119</x:v>
      </x:c>
      <x:c r="D58" t="str">
        <x:v>BYOND</x:v>
      </x:c>
      <x:c r="E58" t="str">
        <x:v>Sunfusion Semi-2</x:v>
      </x:c>
      <x:c r="F58" t="str">
        <x:v>รพ.สูงเนิน</x:v>
      </x:c>
      <x:c r="G58" t="str">
        <x:v>รพ.สูงเนิน</x:v>
      </x:c>
      <x:c r="H58" t="str">
        <x:v>2025-09-17</x:v>
      </x:c>
      <x:c r="I58" t="str">
        <x:v>12</x:v>
      </x:c>
      <x:c r="J58" t="str">
        <x:v>2026-09-17</x:v>
      </x:c>
      <x:c r="K58"/>
      <x:c r="L58" t="str">
        <x:v>2026-09-17</x:v>
      </x:c>
      <x:c r="M58" t="str">
        <x:v>111.0</x:v>
      </x:c>
      <x:c r="N58" t="str">
        <x:v>0.0</x:v>
      </x:c>
      <x:c r="O58" t="str">
        <x:v>เช่ายืม</x:v>
      </x:c>
      <x:c r="P58" t="str">
        <x:v>เช่ายืม</x:v>
      </x:c>
      <x:c r="Q58" t="str">
        <x:v>No action</x:v>
      </x:c>
      <x:c r="R58" t="str">
        <x:v>ส่ง 10 + Demo สำรอง 2เครื้่อง</x:v>
      </x:c>
      <x:c r="S58" t="str">
        <x:v>58.0</x:v>
      </x:c>
    </x:row>
    <x:row r="59">
      <x:c r="A59" t="str">
        <x:v>R0058</x:v>
      </x:c>
      <x:c r="B59" t="str">
        <x:v>CESR00140</x:v>
      </x:c>
      <x:c r="C59" t="str">
        <x:v>21123060008</x:v>
      </x:c>
      <x:c r="D59" t="str">
        <x:v>BYOND</x:v>
      </x:c>
      <x:c r="E59" t="str">
        <x:v>Sunfusion Semi-2</x:v>
      </x:c>
      <x:c r="F59" t="str">
        <x:v>รพ.สูงเนิน</x:v>
      </x:c>
      <x:c r="G59" t="str">
        <x:v>รพ.สูงเนิน</x:v>
      </x:c>
      <x:c r="H59" t="str">
        <x:v>2025-09-17</x:v>
      </x:c>
      <x:c r="I59" t="str">
        <x:v>12</x:v>
      </x:c>
      <x:c r="J59" t="str">
        <x:v>2026-09-17</x:v>
      </x:c>
      <x:c r="K59"/>
      <x:c r="L59" t="str">
        <x:v>2026-09-17</x:v>
      </x:c>
      <x:c r="M59" t="str">
        <x:v>111.0</x:v>
      </x:c>
      <x:c r="N59" t="str">
        <x:v>0.0</x:v>
      </x:c>
      <x:c r="O59" t="str">
        <x:v>เช่ายืม</x:v>
      </x:c>
      <x:c r="P59" t="str">
        <x:v>เช่ายืม</x:v>
      </x:c>
      <x:c r="Q59" t="str">
        <x:v>No action</x:v>
      </x:c>
      <x:c r="R59" t="str">
        <x:v>ส่ง 10 + Demo สำรอง 2เครื้่อง</x:v>
      </x:c>
      <x:c r="S59" t="str">
        <x:v>59.0</x:v>
      </x:c>
    </x:row>
    <x:row r="60">
      <x:c r="A60" t="str">
        <x:v>R0059</x:v>
      </x:c>
      <x:c r="B60" t="str">
        <x:v>CESR00162</x:v>
      </x:c>
      <x:c r="C60" t="str">
        <x:v>21123060031</x:v>
      </x:c>
      <x:c r="D60" t="str">
        <x:v>BYOND</x:v>
      </x:c>
      <x:c r="E60" t="str">
        <x:v>Sunfusion Semi-2</x:v>
      </x:c>
      <x:c r="F60" t="str">
        <x:v>รพ.สูงเนิน</x:v>
      </x:c>
      <x:c r="G60" t="str">
        <x:v>รพ.สูงเนิน</x:v>
      </x:c>
      <x:c r="H60" t="str">
        <x:v>2025-09-17</x:v>
      </x:c>
      <x:c r="I60" t="str">
        <x:v>12</x:v>
      </x:c>
      <x:c r="J60" t="str">
        <x:v>2026-09-17</x:v>
      </x:c>
      <x:c r="K60"/>
      <x:c r="L60" t="str">
        <x:v>2026-09-17</x:v>
      </x:c>
      <x:c r="M60" t="str">
        <x:v>111.0</x:v>
      </x:c>
      <x:c r="N60" t="str">
        <x:v>0.0</x:v>
      </x:c>
      <x:c r="O60" t="str">
        <x:v>เช่ายืม</x:v>
      </x:c>
      <x:c r="P60" t="str">
        <x:v>เช่ายืม</x:v>
      </x:c>
      <x:c r="Q60" t="str">
        <x:v>No action</x:v>
      </x:c>
      <x:c r="R60" t="str">
        <x:v>ส่ง 10 + Demo สำรอง 2เครื้่อง</x:v>
      </x:c>
      <x:c r="S60" t="str">
        <x:v>60.0</x:v>
      </x:c>
    </x:row>
    <x:row r="61">
      <x:c r="A61" t="str">
        <x:v>R0060</x:v>
      </x:c>
      <x:c r="B61" t="str">
        <x:v>CESR00176</x:v>
      </x:c>
      <x:c r="C61" t="str">
        <x:v>21123060046</x:v>
      </x:c>
      <x:c r="D61" t="str">
        <x:v>BYOND</x:v>
      </x:c>
      <x:c r="E61" t="str">
        <x:v>Sunfusion Semi-2</x:v>
      </x:c>
      <x:c r="F61" t="str">
        <x:v>รพ.สูงเนิน</x:v>
      </x:c>
      <x:c r="G61" t="str">
        <x:v>รพ.สูงเนิน</x:v>
      </x:c>
      <x:c r="H61" t="str">
        <x:v>2025-09-17</x:v>
      </x:c>
      <x:c r="I61" t="str">
        <x:v>12</x:v>
      </x:c>
      <x:c r="J61" t="str">
        <x:v>2026-09-17</x:v>
      </x:c>
      <x:c r="K61"/>
      <x:c r="L61" t="str">
        <x:v>2026-09-17</x:v>
      </x:c>
      <x:c r="M61" t="str">
        <x:v>111.0</x:v>
      </x:c>
      <x:c r="N61" t="str">
        <x:v>0.0</x:v>
      </x:c>
      <x:c r="O61" t="str">
        <x:v>เช่ายืม</x:v>
      </x:c>
      <x:c r="P61" t="str">
        <x:v>เช่ายืม</x:v>
      </x:c>
      <x:c r="Q61" t="str">
        <x:v>No action</x:v>
      </x:c>
      <x:c r="R61" t="str">
        <x:v>ส่ง 10 + Demo สำรอง 2เครื้่อง</x:v>
      </x:c>
      <x:c r="S61" t="str">
        <x:v>61.0</x:v>
      </x:c>
    </x:row>
    <x:row r="62">
      <x:c r="A62" t="str">
        <x:v>R0061</x:v>
      </x:c>
      <x:c r="B62" t="str">
        <x:v>CESR00180</x:v>
      </x:c>
      <x:c r="C62" t="str">
        <x:v>21123060050</x:v>
      </x:c>
      <x:c r="D62" t="str">
        <x:v>BYOND</x:v>
      </x:c>
      <x:c r="E62" t="str">
        <x:v>Sunfusion Semi-2</x:v>
      </x:c>
      <x:c r="F62" t="str">
        <x:v>รพ.สูงเนิน</x:v>
      </x:c>
      <x:c r="G62" t="str">
        <x:v>รพ.สูงเนิน</x:v>
      </x:c>
      <x:c r="H62" t="str">
        <x:v>2025-09-17</x:v>
      </x:c>
      <x:c r="I62" t="str">
        <x:v>12</x:v>
      </x:c>
      <x:c r="J62" t="str">
        <x:v>2026-09-17</x:v>
      </x:c>
      <x:c r="K62"/>
      <x:c r="L62" t="str">
        <x:v>2026-09-17</x:v>
      </x:c>
      <x:c r="M62" t="str">
        <x:v>111.0</x:v>
      </x:c>
      <x:c r="N62" t="str">
        <x:v>0.0</x:v>
      </x:c>
      <x:c r="O62" t="str">
        <x:v>เช่ายืม</x:v>
      </x:c>
      <x:c r="P62" t="str">
        <x:v>เช่ายืม</x:v>
      </x:c>
      <x:c r="Q62" t="str">
        <x:v>No action</x:v>
      </x:c>
      <x:c r="R62" t="str">
        <x:v>ส่ง 10 + Demo สำรอง 2เครื้่อง</x:v>
      </x:c>
      <x:c r="S62" t="str">
        <x:v>62.0</x:v>
      </x:c>
    </x:row>
    <x:row r="63">
      <x:c r="A63" t="str">
        <x:v>R0062</x:v>
      </x:c>
      <x:c r="B63" t="str">
        <x:v>CESR00228</x:v>
      </x:c>
      <x:c r="C63" t="str">
        <x:v>21123050114</x:v>
      </x:c>
      <x:c r="D63" t="str">
        <x:v>BYOND</x:v>
      </x:c>
      <x:c r="E63" t="str">
        <x:v>Sunfusion Semi-2</x:v>
      </x:c>
      <x:c r="F63" t="str">
        <x:v>รพ.สูงเนิน</x:v>
      </x:c>
      <x:c r="G63" t="str">
        <x:v>รพ.สูงเนิน</x:v>
      </x:c>
      <x:c r="H63" t="str">
        <x:v>2025-09-17</x:v>
      </x:c>
      <x:c r="I63" t="str">
        <x:v>12</x:v>
      </x:c>
      <x:c r="J63" t="str">
        <x:v>2026-09-17</x:v>
      </x:c>
      <x:c r="K63"/>
      <x:c r="L63" t="str">
        <x:v>2026-09-17</x:v>
      </x:c>
      <x:c r="M63" t="str">
        <x:v>111.0</x:v>
      </x:c>
      <x:c r="N63" t="str">
        <x:v>0.0</x:v>
      </x:c>
      <x:c r="O63" t="str">
        <x:v>เช่ายืม</x:v>
      </x:c>
      <x:c r="P63" t="str">
        <x:v>เช่ายืม</x:v>
      </x:c>
      <x:c r="Q63" t="str">
        <x:v>No action</x:v>
      </x:c>
      <x:c r="R63" t="str">
        <x:v>ส่ง 10 + Demo สำรอง 2เครื้่อง</x:v>
      </x:c>
      <x:c r="S63" t="str">
        <x:v>63.0</x:v>
      </x:c>
    </x:row>
    <x:row r="64">
      <x:c r="A64" t="str">
        <x:v>R0063</x:v>
      </x:c>
      <x:c r="B64" t="str">
        <x:v>200914</x:v>
      </x:c>
      <x:c r="C64" t="str">
        <x:v>200914</x:v>
      </x:c>
      <x:c r="D64" t="str">
        <x:v>B.Braun</x:v>
      </x:c>
      <x:c r="E64" t="str">
        <x:v>Infusomat Space</x:v>
      </x:c>
      <x:c r="F64" t="str">
        <x:v>โรงพยาบาลเปาโล พระประแดง</x:v>
      </x:c>
      <x:c r="G64" t="str">
        <x:v>โรงพยาบาลเปาโล พระประแดง</x:v>
      </x:c>
      <x:c r="H64" t="str">
        <x:v>2025-07-02</x:v>
      </x:c>
      <x:c r="I64" t="str">
        <x:v>1</x:v>
      </x:c>
      <x:c r="J64" t="str">
        <x:v>2025-08-02</x:v>
      </x:c>
      <x:c r="K64"/>
      <x:c r="L64" t="str">
        <x:v>2025-08-02</x:v>
      </x:c>
      <x:c r="M64" t="str">
        <x:v>-300.0</x:v>
      </x:c>
      <x:c r="N64" t="str">
        <x:v>300.0</x:v>
      </x:c>
      <x:c r="O64" t="str">
        <x:v>เช่ายืม</x:v>
      </x:c>
      <x:c r="P64" t="str">
        <x:v>เช่ายืม</x:v>
      </x:c>
      <x:c r="Q64" t="str">
        <x:v>อยู่ระหว่างเช่ายืม / เกินกำหนดคืน 300 วัน</x:v>
      </x:c>
      <x:c r="R64"/>
      <x:c r="S64" t="str">
        <x:v>64.0</x:v>
      </x:c>
    </x:row>
    <x:row r="65">
      <x:c r="A65" t="str">
        <x:v>R0064</x:v>
      </x:c>
      <x:c r="B65" t="str">
        <x:v>200825</x:v>
      </x:c>
      <x:c r="C65" t="str">
        <x:v>200825</x:v>
      </x:c>
      <x:c r="D65" t="str">
        <x:v>B.Braun</x:v>
      </x:c>
      <x:c r="E65" t="str">
        <x:v>Infusomat Space</x:v>
      </x:c>
      <x:c r="F65" t="str">
        <x:v>โรงพยาบาลเปาโล พระประแดง</x:v>
      </x:c>
      <x:c r="G65" t="str">
        <x:v>โรงพยาบาลเปาโล พระประแดง</x:v>
      </x:c>
      <x:c r="H65" t="str">
        <x:v>2025-07-02</x:v>
      </x:c>
      <x:c r="I65" t="str">
        <x:v>1</x:v>
      </x:c>
      <x:c r="J65" t="str">
        <x:v>2025-08-02</x:v>
      </x:c>
      <x:c r="K65"/>
      <x:c r="L65" t="str">
        <x:v>2025-08-02</x:v>
      </x:c>
      <x:c r="M65" t="str">
        <x:v>-300.0</x:v>
      </x:c>
      <x:c r="N65" t="str">
        <x:v>300.0</x:v>
      </x:c>
      <x:c r="O65" t="str">
        <x:v>เช่ายืม</x:v>
      </x:c>
      <x:c r="P65" t="str">
        <x:v>เช่ายืม</x:v>
      </x:c>
      <x:c r="Q65" t="str">
        <x:v>อยู่ระหว่างเช่ายืม / เกินกำหนดคืน 300 วัน</x:v>
      </x:c>
      <x:c r="R65"/>
      <x:c r="S65" t="str">
        <x:v>65.0</x:v>
      </x:c>
    </x:row>
    <x:row r="66">
      <x:c r="A66" t="str">
        <x:v>R0065</x:v>
      </x:c>
      <x:c r="B66" t="str">
        <x:v>336034</x:v>
      </x:c>
      <x:c r="C66" t="str">
        <x:v>336034</x:v>
      </x:c>
      <x:c r="D66" t="str">
        <x:v>B.Braun</x:v>
      </x:c>
      <x:c r="E66" t="str">
        <x:v>Infusomat Space</x:v>
      </x:c>
      <x:c r="F66" t="str">
        <x:v>โรงพยาบาลเปาโล พระประแดง</x:v>
      </x:c>
      <x:c r="G66" t="str">
        <x:v>โรงพยาบาลเปาโล พระประแดง</x:v>
      </x:c>
      <x:c r="H66" t="str">
        <x:v>2025-07-02</x:v>
      </x:c>
      <x:c r="I66" t="str">
        <x:v>1</x:v>
      </x:c>
      <x:c r="J66" t="str">
        <x:v>2025-08-02</x:v>
      </x:c>
      <x:c r="K66"/>
      <x:c r="L66" t="str">
        <x:v>2025-08-02</x:v>
      </x:c>
      <x:c r="M66" t="str">
        <x:v>-300.0</x:v>
      </x:c>
      <x:c r="N66" t="str">
        <x:v>300.0</x:v>
      </x:c>
      <x:c r="O66" t="str">
        <x:v>เช่ายืม</x:v>
      </x:c>
      <x:c r="P66" t="str">
        <x:v>เช่ายืม</x:v>
      </x:c>
      <x:c r="Q66" t="str">
        <x:v>อยู่ระหว่างเช่ายืม / เกินกำหนดคืน 300 วัน</x:v>
      </x:c>
      <x:c r="R66"/>
      <x:c r="S66" t="str">
        <x:v>66.0</x:v>
      </x:c>
    </x:row>
    <x:row r="67">
      <x:c r="A67" t="str">
        <x:v>R0066</x:v>
      </x:c>
      <x:c r="B67" t="str">
        <x:v>292345</x:v>
      </x:c>
      <x:c r="C67" t="str">
        <x:v>292345</x:v>
      </x:c>
      <x:c r="D67" t="str">
        <x:v>B.Braun</x:v>
      </x:c>
      <x:c r="E67" t="str">
        <x:v>Infusomat Space</x:v>
      </x:c>
      <x:c r="F67" t="str">
        <x:v>โรงพยาบาลเปาโล พระประแดง</x:v>
      </x:c>
      <x:c r="G67" t="str">
        <x:v>โรงพยาบาลเปาโล พระประแดง</x:v>
      </x:c>
      <x:c r="H67" t="str">
        <x:v>2025-07-02</x:v>
      </x:c>
      <x:c r="I67" t="str">
        <x:v>1</x:v>
      </x:c>
      <x:c r="J67" t="str">
        <x:v>2025-08-02</x:v>
      </x:c>
      <x:c r="K67"/>
      <x:c r="L67" t="str">
        <x:v>2025-08-02</x:v>
      </x:c>
      <x:c r="M67" t="str">
        <x:v>-300.0</x:v>
      </x:c>
      <x:c r="N67" t="str">
        <x:v>300.0</x:v>
      </x:c>
      <x:c r="O67" t="str">
        <x:v>เช่ายืม</x:v>
      </x:c>
      <x:c r="P67" t="str">
        <x:v>เช่ายืม</x:v>
      </x:c>
      <x:c r="Q67" t="str">
        <x:v>อยู่ระหว่างเช่ายืม / เกินกำหนดคืน 300 วัน</x:v>
      </x:c>
      <x:c r="R67"/>
      <x:c r="S67" t="str">
        <x:v>67.0</x:v>
      </x:c>
    </x:row>
    <x:row r="68">
      <x:c r="A68" t="str">
        <x:v>R0067</x:v>
      </x:c>
      <x:c r="B68" t="str">
        <x:v>NHBB0463</x:v>
      </x:c>
      <x:c r="C68" t="str">
        <x:v>201334</x:v>
      </x:c>
      <x:c r="D68" t="str">
        <x:v>B.Braun</x:v>
      </x:c>
      <x:c r="E68" t="str">
        <x:v>Infusomat Space</x:v>
      </x:c>
      <x:c r="F68" t="str">
        <x:v>รพ.กรุงเทพสนามจันทร์</x:v>
      </x:c>
      <x:c r="G68" t="str">
        <x:v>รพ.กรุงเทพสนามจันทร์ (BSN)</x:v>
      </x:c>
      <x:c r="H68" t="str">
        <x:v>2025-07-04</x:v>
      </x:c>
      <x:c r="I68" t="str">
        <x:v>1</x:v>
      </x:c>
      <x:c r="J68" t="str">
        <x:v>2025-08-04</x:v>
      </x:c>
      <x:c r="K68"/>
      <x:c r="L68" t="str">
        <x:v>2025-08-04</x:v>
      </x:c>
      <x:c r="M68" t="str">
        <x:v>-298.0</x:v>
      </x:c>
      <x:c r="N68" t="str">
        <x:v>298.0</x:v>
      </x:c>
      <x:c r="O68" t="str">
        <x:v>เช่ายืม</x:v>
      </x:c>
      <x:c r="P68" t="str">
        <x:v>เช่ายืม</x:v>
      </x:c>
      <x:c r="Q68" t="str">
        <x:v>อยู่ระหว่างเช่ายืม / เกินกำหนดคืน 298 วัน</x:v>
      </x:c>
      <x:c r="R68"/>
      <x:c r="S68" t="str">
        <x:v>68.0</x:v>
      </x:c>
    </x:row>
    <x:row r="69">
      <x:c r="A69" t="str">
        <x:v>R0068</x:v>
      </x:c>
      <x:c r="B69" t="str">
        <x:v>NHBB0133</x:v>
      </x:c>
      <x:c r="C69" t="str">
        <x:v>124768</x:v>
      </x:c>
      <x:c r="D69" t="str">
        <x:v>B.Braun</x:v>
      </x:c>
      <x:c r="E69" t="str">
        <x:v>Infusomat Space</x:v>
      </x:c>
      <x:c r="F69" t="str">
        <x:v>รพ.กรุงเทพสนามจันทร์</x:v>
      </x:c>
      <x:c r="G69" t="str">
        <x:v>รพ.กรุงเทพสนามจันทร์ (BSN)</x:v>
      </x:c>
      <x:c r="H69" t="str">
        <x:v>2025-07-04</x:v>
      </x:c>
      <x:c r="I69" t="str">
        <x:v>1</x:v>
      </x:c>
      <x:c r="J69" t="str">
        <x:v>2025-08-04</x:v>
      </x:c>
      <x:c r="K69"/>
      <x:c r="L69" t="str">
        <x:v>2025-08-04</x:v>
      </x:c>
      <x:c r="M69" t="str">
        <x:v>-298.0</x:v>
      </x:c>
      <x:c r="N69" t="str">
        <x:v>298.0</x:v>
      </x:c>
      <x:c r="O69" t="str">
        <x:v>เช่ายืม</x:v>
      </x:c>
      <x:c r="P69" t="str">
        <x:v>เช่ายืม</x:v>
      </x:c>
      <x:c r="Q69" t="str">
        <x:v>อยู่ระหว่างเช่ายืม / เกินกำหนดคืน 298 วัน</x:v>
      </x:c>
      <x:c r="R69"/>
      <x:c r="S69" t="str">
        <x:v>69.0</x:v>
      </x:c>
    </x:row>
    <x:row r="70">
      <x:c r="A70" t="str">
        <x:v>R0069</x:v>
      </x:c>
      <x:c r="B70" t="str">
        <x:v>CESR00137</x:v>
      </x:c>
      <x:c r="C70" t="str">
        <x:v>21123060005</x:v>
      </x:c>
      <x:c r="D70" t="str">
        <x:v>BYOND</x:v>
      </x:c>
      <x:c r="E70" t="str">
        <x:v>Sunfusion Semi-2</x:v>
      </x:c>
      <x:c r="F70" t="str">
        <x:v>DEMO บางมูลนาก</x:v>
      </x:c>
      <x:c r="G70" t="str">
        <x:v>โรงพยาบาลบางมูลนาก จังหวัดพิจิตร</x:v>
      </x:c>
      <x:c r="H70" t="str">
        <x:v>2025-07-10</x:v>
      </x:c>
      <x:c r="I70" t="str">
        <x:v>3</x:v>
      </x:c>
      <x:c r="J70" t="str">
        <x:v>2025-10-10</x:v>
      </x:c>
      <x:c r="K70"/>
      <x:c r="L70" t="str">
        <x:v>2025-10-10</x:v>
      </x:c>
      <x:c r="M70" t="str">
        <x:v>-231.0</x:v>
      </x:c>
      <x:c r="N70" t="str">
        <x:v>231.0</x:v>
      </x:c>
      <x:c r="O70" t="str">
        <x:v>เช่ายืม</x:v>
      </x:c>
      <x:c r="P70" t="str">
        <x:v>เช่ายืม</x:v>
      </x:c>
      <x:c r="Q70" t="str">
        <x:v>อยู่ระหว่างเช่ายืม / เกินกำหนดคืน 231 วัน</x:v>
      </x:c>
      <x:c r="R70"/>
      <x:c r="S70" t="str">
        <x:v>70.0</x:v>
      </x:c>
    </x:row>
    <x:row r="71">
      <x:c r="A71" t="str">
        <x:v>R0070</x:v>
      </x:c>
      <x:c r="B71" t="str">
        <x:v>CESR00097</x:v>
      </x:c>
      <x:c r="C71" t="str">
        <x:v>21123050109</x:v>
      </x:c>
      <x:c r="D71" t="str">
        <x:v>BYOND</x:v>
      </x:c>
      <x:c r="E71" t="str">
        <x:v>Sunfusion Semi-2</x:v>
      </x:c>
      <x:c r="F71" t="str">
        <x:v>DEMO บางมูลนาก</x:v>
      </x:c>
      <x:c r="G71" t="str">
        <x:v>โรงพยาบาลบางมูลนาก จังหวัดพิจิตร</x:v>
      </x:c>
      <x:c r="H71" t="str">
        <x:v>2025-07-10</x:v>
      </x:c>
      <x:c r="I71" t="str">
        <x:v>3</x:v>
      </x:c>
      <x:c r="J71" t="str">
        <x:v>2025-10-10</x:v>
      </x:c>
      <x:c r="K71"/>
      <x:c r="L71" t="str">
        <x:v>2025-10-10</x:v>
      </x:c>
      <x:c r="M71" t="str">
        <x:v>-231.0</x:v>
      </x:c>
      <x:c r="N71" t="str">
        <x:v>231.0</x:v>
      </x:c>
      <x:c r="O71" t="str">
        <x:v>เช่ายืม</x:v>
      </x:c>
      <x:c r="P71" t="str">
        <x:v>เช่ายืม</x:v>
      </x:c>
      <x:c r="Q71" t="str">
        <x:v>อยู่ระหว่างเช่ายืม / เกินกำหนดคืน 231 วัน</x:v>
      </x:c>
      <x:c r="R71"/>
      <x:c r="S71" t="str">
        <x:v>71.0</x:v>
      </x:c>
    </x:row>
    <x:row r="72">
      <x:c r="A72" t="str">
        <x:v>R0071</x:v>
      </x:c>
      <x:c r="B72" t="str">
        <x:v>CESR00114</x:v>
      </x:c>
      <x:c r="C72" t="str">
        <x:v>21123050128</x:v>
      </x:c>
      <x:c r="D72" t="str">
        <x:v>BYOND</x:v>
      </x:c>
      <x:c r="E72" t="str">
        <x:v>Sunfusion Semi-2</x:v>
      </x:c>
      <x:c r="F72" t="str">
        <x:v>DEMO บางมูลนาก</x:v>
      </x:c>
      <x:c r="G72" t="str">
        <x:v>โรงพยาบาลบางมูลนาก จังหวัดพิจิตร</x:v>
      </x:c>
      <x:c r="H72" t="str">
        <x:v>2025-07-10</x:v>
      </x:c>
      <x:c r="I72" t="str">
        <x:v>3</x:v>
      </x:c>
      <x:c r="J72" t="str">
        <x:v>2025-10-10</x:v>
      </x:c>
      <x:c r="K72"/>
      <x:c r="L72" t="str">
        <x:v>2025-10-10</x:v>
      </x:c>
      <x:c r="M72" t="str">
        <x:v>-231.0</x:v>
      </x:c>
      <x:c r="N72" t="str">
        <x:v>231.0</x:v>
      </x:c>
      <x:c r="O72" t="str">
        <x:v>เช่ายืม</x:v>
      </x:c>
      <x:c r="P72" t="str">
        <x:v>เช่ายืม</x:v>
      </x:c>
      <x:c r="Q72" t="str">
        <x:v>อยู่ระหว่างเช่ายืม / เกินกำหนดคืน 231 วัน</x:v>
      </x:c>
      <x:c r="R72"/>
      <x:c r="S72" t="str">
        <x:v>72.0</x:v>
      </x:c>
    </x:row>
    <x:row r="73">
      <x:c r="A73" t="str">
        <x:v>R0072</x:v>
      </x:c>
      <x:c r="B73" t="str">
        <x:v>NH0391</x:v>
      </x:c>
      <x:c r="C73" t="str">
        <x:v>334489</x:v>
      </x:c>
      <x:c r="D73" t="str">
        <x:v>B.Braun</x:v>
      </x:c>
      <x:c r="E73" t="str">
        <x:v>Infusomat Space</x:v>
      </x:c>
      <x:c r="F73" t="str">
        <x:v>รพ.วันเวลา</x:v>
      </x:c>
      <x:c r="G73" t="str">
        <x:v>เช่าเพิ่ม รพ.วันเวลา</x:v>
      </x:c>
      <x:c r="H73" t="str">
        <x:v>2025-07-17</x:v>
      </x:c>
      <x:c r="I73" t="str">
        <x:v>5</x:v>
      </x:c>
      <x:c r="J73" t="str">
        <x:v>2025-12-17</x:v>
      </x:c>
      <x:c r="K73"/>
      <x:c r="L73" t="str">
        <x:v>2025-12-17</x:v>
      </x:c>
      <x:c r="M73" t="str">
        <x:v>-163.0</x:v>
      </x:c>
      <x:c r="N73" t="str">
        <x:v>163.0</x:v>
      </x:c>
      <x:c r="O73" t="str">
        <x:v>เช่ายืม</x:v>
      </x:c>
      <x:c r="P73" t="str">
        <x:v>เช่ายืม</x:v>
      </x:c>
      <x:c r="Q73" t="str">
        <x:v>อยู่ระหว่างเช่ายืม / เกินกำหนดคืน 163 วัน</x:v>
      </x:c>
      <x:c r="R73"/>
      <x:c r="S73" t="str">
        <x:v>73.0</x:v>
      </x:c>
    </x:row>
    <x:row r="74">
      <x:c r="A74" t="str">
        <x:v>R0073</x:v>
      </x:c>
      <x:c r="B74" t="str">
        <x:v>NH0043</x:v>
      </x:c>
      <x:c r="C74" t="str">
        <x:v>252106</x:v>
      </x:c>
      <x:c r="D74" t="str">
        <x:v>B.Braun</x:v>
      </x:c>
      <x:c r="E74" t="str">
        <x:v>Infusomat Space</x:v>
      </x:c>
      <x:c r="F74" t="str">
        <x:v>รพ.วันเวลา</x:v>
      </x:c>
      <x:c r="G74" t="str">
        <x:v>เช่าเพิ่ม รพ.วันเวลา</x:v>
      </x:c>
      <x:c r="H74" t="str">
        <x:v>2025-07-17</x:v>
      </x:c>
      <x:c r="I74" t="str">
        <x:v>5</x:v>
      </x:c>
      <x:c r="J74" t="str">
        <x:v>2025-12-17</x:v>
      </x:c>
      <x:c r="K74"/>
      <x:c r="L74" t="str">
        <x:v>2025-12-17</x:v>
      </x:c>
      <x:c r="M74" t="str">
        <x:v>-163.0</x:v>
      </x:c>
      <x:c r="N74" t="str">
        <x:v>163.0</x:v>
      </x:c>
      <x:c r="O74" t="str">
        <x:v>เช่ายืม</x:v>
      </x:c>
      <x:c r="P74" t="str">
        <x:v>เช่ายืม</x:v>
      </x:c>
      <x:c r="Q74" t="str">
        <x:v>อยู่ระหว่างเช่ายืม / เกินกำหนดคืน 163 วัน</x:v>
      </x:c>
      <x:c r="R74"/>
      <x:c r="S74" t="str">
        <x:v>74.0</x:v>
      </x:c>
    </x:row>
    <x:row r="75">
      <x:c r="A75" t="str">
        <x:v>R0074</x:v>
      </x:c>
      <x:c r="B75" t="str">
        <x:v>CESR00038</x:v>
      </x:c>
      <x:c r="C75" t="str">
        <x:v>21123050040</x:v>
      </x:c>
      <x:c r="D75" t="str">
        <x:v>BYOND</x:v>
      </x:c>
      <x:c r="E75" t="str">
        <x:v>Sunfusion Semi-2</x:v>
      </x:c>
      <x:c r="F75" t="str">
        <x:v>รพ.พิษณุเวชอุตรดิตถ์</x:v>
      </x:c>
      <x:c r="G75" t="str">
        <x:v>รพ.พิษณุเวษ อุตรติด</x:v>
      </x:c>
      <x:c r="H75" t="str">
        <x:v>2025-07-29</x:v>
      </x:c>
      <x:c r="I75" t="str">
        <x:v>4</x:v>
      </x:c>
      <x:c r="J75" t="str">
        <x:v>2026-06-23</x:v>
      </x:c>
      <x:c r="K75" t="str">
        <x:v>46171.0</x:v>
      </x:c>
      <x:c r="L75" t="str">
        <x:v>2026-06-23</x:v>
      </x:c>
      <x:c r="M75" t="str">
        <x:v>25.0</x:v>
      </x:c>
      <x:c r="N75" t="str">
        <x:v>0.0</x:v>
      </x:c>
      <x:c r="O75" t="str">
        <x:v>คืนแล้ว</x:v>
      </x:c>
      <x:c r="P75" t="str">
        <x:v>รอสอบเทียบ</x:v>
      </x:c>
      <x:c r="Q75" t="str">
        <x:v>Returned</x:v>
      </x:c>
      <x:c r="R75" t="str">
        <x:v>Return from web</x:v>
      </x:c>
      <x:c r="S75" t="str">
        <x:v>75.0</x:v>
      </x:c>
    </x:row>
    <x:row r="76">
      <x:c r="A76" t="str">
        <x:v>R0075</x:v>
      </x:c>
      <x:c r="B76" t="str">
        <x:v>CESR00098</x:v>
      </x:c>
      <x:c r="C76" t="str">
        <x:v>21123050110</x:v>
      </x:c>
      <x:c r="D76" t="str">
        <x:v>BYOND</x:v>
      </x:c>
      <x:c r="E76" t="str">
        <x:v>Sunfusion Semi-2</x:v>
      </x:c>
      <x:c r="F76" t="str">
        <x:v>DEMO รพ.สรรพสิทธิประสงค์</x:v>
      </x:c>
      <x:c r="G76" t="str">
        <x:v>DEMO รพ.สรรพสิทธิประสงค์</x:v>
      </x:c>
      <x:c r="H76" t="str">
        <x:v>2025-08-27</x:v>
      </x:c>
      <x:c r="I76" t="str">
        <x:v>3</x:v>
      </x:c>
      <x:c r="J76" t="str">
        <x:v>2025-11-27</x:v>
      </x:c>
      <x:c r="K76" t="str">
        <x:v>46171.0</x:v>
      </x:c>
      <x:c r="L76" t="str">
        <x:v>2025-11-27</x:v>
      </x:c>
      <x:c r="M76" t="str">
        <x:v>-183.0</x:v>
      </x:c>
      <x:c r="N76" t="str">
        <x:v>183.0</x:v>
      </x:c>
      <x:c r="O76" t="str">
        <x:v>คืนแล้ว</x:v>
      </x:c>
      <x:c r="P76" t="str">
        <x:v>รอสอบเทียบ</x:v>
      </x:c>
      <x:c r="Q76" t="str">
        <x:v>Returned</x:v>
      </x:c>
      <x:c r="R76" t="str">
        <x:v>Return from web</x:v>
      </x:c>
      <x:c r="S76" t="str">
        <x:v>76.0</x:v>
      </x:c>
    </x:row>
    <x:row r="77">
      <x:c r="A77" t="str">
        <x:v>R0076</x:v>
      </x:c>
      <x:c r="B77" t="str">
        <x:v>CESR00189</x:v>
      </x:c>
      <x:c r="C77" t="str">
        <x:v>21123060059</x:v>
      </x:c>
      <x:c r="D77" t="str">
        <x:v>BYOND</x:v>
      </x:c>
      <x:c r="E77" t="str">
        <x:v>Sunfusion Semi-2</x:v>
      </x:c>
      <x:c r="F77" t="str">
        <x:v>DEMO รพ.สรรพสิทธิประสงค์</x:v>
      </x:c>
      <x:c r="G77" t="str">
        <x:v>DEMO รพ.สรรพสิทธิประสงค์</x:v>
      </x:c>
      <x:c r="H77" t="str">
        <x:v>2025-08-27</x:v>
      </x:c>
      <x:c r="I77" t="str">
        <x:v>3</x:v>
      </x:c>
      <x:c r="J77" t="str">
        <x:v>2025-11-27</x:v>
      </x:c>
      <x:c r="K77" t="str">
        <x:v>46171.0</x:v>
      </x:c>
      <x:c r="L77" t="str">
        <x:v>2025-11-27</x:v>
      </x:c>
      <x:c r="M77" t="str">
        <x:v>-183.0</x:v>
      </x:c>
      <x:c r="N77" t="str">
        <x:v>183.0</x:v>
      </x:c>
      <x:c r="O77" t="str">
        <x:v>คืนแล้ว</x:v>
      </x:c>
      <x:c r="P77" t="str">
        <x:v>รอสอบเทียบ</x:v>
      </x:c>
      <x:c r="Q77" t="str">
        <x:v>Returned</x:v>
      </x:c>
      <x:c r="R77" t="str">
        <x:v>Return from web</x:v>
      </x:c>
      <x:c r="S77" t="str">
        <x:v>77.0</x:v>
      </x:c>
    </x:row>
    <x:row r="78">
      <x:c r="A78" t="str">
        <x:v>R0077</x:v>
      </x:c>
      <x:c r="B78" t="str">
        <x:v>CESR00146</x:v>
      </x:c>
      <x:c r="C78" t="str">
        <x:v>21123060015</x:v>
      </x:c>
      <x:c r="D78" t="str">
        <x:v>BYOND</x:v>
      </x:c>
      <x:c r="E78" t="str">
        <x:v>Sunfusion Semi-2</x:v>
      </x:c>
      <x:c r="F78" t="str">
        <x:v>DEMO รพ.สรรพสิทธิประสงค์</x:v>
      </x:c>
      <x:c r="G78" t="str">
        <x:v>DEMO รพ.สรรพสิทธิประสงค์</x:v>
      </x:c>
      <x:c r="H78" t="str">
        <x:v>2025-08-27</x:v>
      </x:c>
      <x:c r="I78" t="str">
        <x:v>3</x:v>
      </x:c>
      <x:c r="J78" t="str">
        <x:v>2025-11-27</x:v>
      </x:c>
      <x:c r="K78" t="str">
        <x:v>46171.0</x:v>
      </x:c>
      <x:c r="L78" t="str">
        <x:v>2025-11-27</x:v>
      </x:c>
      <x:c r="M78" t="str">
        <x:v>-183.0</x:v>
      </x:c>
      <x:c r="N78" t="str">
        <x:v>183.0</x:v>
      </x:c>
      <x:c r="O78" t="str">
        <x:v>คืนแล้ว</x:v>
      </x:c>
      <x:c r="P78" t="str">
        <x:v>รอสอบเทียบ</x:v>
      </x:c>
      <x:c r="Q78" t="str">
        <x:v>Returned</x:v>
      </x:c>
      <x:c r="R78" t="str">
        <x:v>Return from web</x:v>
      </x:c>
      <x:c r="S78" t="str">
        <x:v>78.0</x:v>
      </x:c>
    </x:row>
    <x:row r="79">
      <x:c r="A79" t="str">
        <x:v>R0078</x:v>
      </x:c>
      <x:c r="B79" t="str">
        <x:v>CESR00164</x:v>
      </x:c>
      <x:c r="C79" t="str">
        <x:v>21123060033</x:v>
      </x:c>
      <x:c r="D79" t="str">
        <x:v>BYOND</x:v>
      </x:c>
      <x:c r="E79" t="str">
        <x:v>Sunfusion Semi-2</x:v>
      </x:c>
      <x:c r="F79" t="str">
        <x:v>DEMO รพ.สรรพสิทธิประสงค์</x:v>
      </x:c>
      <x:c r="G79" t="str">
        <x:v>DEMO รพ.สรรพสิทธิประสงค์</x:v>
      </x:c>
      <x:c r="H79" t="str">
        <x:v>2025-08-27</x:v>
      </x:c>
      <x:c r="I79" t="str">
        <x:v>3</x:v>
      </x:c>
      <x:c r="J79" t="str">
        <x:v>2025-11-27</x:v>
      </x:c>
      <x:c r="K79" t="str">
        <x:v>46171.0</x:v>
      </x:c>
      <x:c r="L79" t="str">
        <x:v>2025-11-27</x:v>
      </x:c>
      <x:c r="M79" t="str">
        <x:v>-183.0</x:v>
      </x:c>
      <x:c r="N79" t="str">
        <x:v>183.0</x:v>
      </x:c>
      <x:c r="O79" t="str">
        <x:v>คืนแล้ว</x:v>
      </x:c>
      <x:c r="P79" t="str">
        <x:v>รอสอบเทียบ</x:v>
      </x:c>
      <x:c r="Q79" t="str">
        <x:v>Returned</x:v>
      </x:c>
      <x:c r="R79" t="str">
        <x:v>Return from web</x:v>
      </x:c>
      <x:c r="S79" t="str">
        <x:v>79.0</x:v>
      </x:c>
    </x:row>
    <x:row r="80">
      <x:c r="A80" t="str">
        <x:v>R0079</x:v>
      </x:c>
      <x:c r="B80" t="str">
        <x:v>CESR00120</x:v>
      </x:c>
      <x:c r="C80" t="str">
        <x:v>21123050135</x:v>
      </x:c>
      <x:c r="D80" t="str">
        <x:v>BYOND</x:v>
      </x:c>
      <x:c r="E80" t="str">
        <x:v>Sunfusion Semi-2</x:v>
      </x:c>
      <x:c r="F80" t="str">
        <x:v>DEMO รพ.สรรพสิทธิประสงค์</x:v>
      </x:c>
      <x:c r="G80" t="str">
        <x:v>DEMO รพ.สรรพสิทธิประสงค์</x:v>
      </x:c>
      <x:c r="H80" t="str">
        <x:v>2025-08-27</x:v>
      </x:c>
      <x:c r="I80" t="str">
        <x:v>3</x:v>
      </x:c>
      <x:c r="J80" t="str">
        <x:v>2025-11-27</x:v>
      </x:c>
      <x:c r="K80" t="str">
        <x:v>46171.0</x:v>
      </x:c>
      <x:c r="L80" t="str">
        <x:v>2025-11-27</x:v>
      </x:c>
      <x:c r="M80" t="str">
        <x:v>-183.0</x:v>
      </x:c>
      <x:c r="N80" t="str">
        <x:v>183.0</x:v>
      </x:c>
      <x:c r="O80" t="str">
        <x:v>คืนแล้ว</x:v>
      </x:c>
      <x:c r="P80" t="str">
        <x:v>รอสอบเทียบ</x:v>
      </x:c>
      <x:c r="Q80" t="str">
        <x:v>Returned</x:v>
      </x:c>
      <x:c r="R80" t="str">
        <x:v>Return from web</x:v>
      </x:c>
      <x:c r="S80" t="str">
        <x:v>80.0</x:v>
      </x:c>
    </x:row>
    <x:row r="81">
      <x:c r="A81" t="str">
        <x:v>R0080</x:v>
      </x:c>
      <x:c r="B81" t="str">
        <x:v>252120</x:v>
      </x:c>
      <x:c r="C81" t="str">
        <x:v>252120</x:v>
      </x:c>
      <x:c r="D81" t="str">
        <x:v>B.Braun</x:v>
      </x:c>
      <x:c r="E81" t="str">
        <x:v>Infusomat Space</x:v>
      </x:c>
      <x:c r="F81" t="str">
        <x:v>นางชวนตา เจริญเชื้อ</x:v>
      </x:c>
      <x:c r="G81" t="str">
        <x:v>นางชวนตา เจริญเชื้อ</x:v>
      </x:c>
      <x:c r="H81" t="str">
        <x:v>2025-09-09</x:v>
      </x:c>
      <x:c r="I81" t="str">
        <x:v>3</x:v>
      </x:c>
      <x:c r="J81" t="str">
        <x:v>2025-12-09</x:v>
      </x:c>
      <x:c r="K81" t="str">
        <x:v>46171.0</x:v>
      </x:c>
      <x:c r="L81" t="str">
        <x:v>2025-12-09</x:v>
      </x:c>
      <x:c r="M81" t="str">
        <x:v>-171.0</x:v>
      </x:c>
      <x:c r="N81" t="str">
        <x:v>171.0</x:v>
      </x:c>
      <x:c r="O81" t="str">
        <x:v>คืนแล้ว</x:v>
      </x:c>
      <x:c r="P81" t="str">
        <x:v>รอสอบเทียบ</x:v>
      </x:c>
      <x:c r="Q81" t="str">
        <x:v>Returned</x:v>
      </x:c>
      <x:c r="R81" t="str">
        <x:v>Return from web</x:v>
      </x:c>
      <x:c r="S81" t="str">
        <x:v>81.0</x:v>
      </x:c>
    </x:row>
    <x:row r="82">
      <x:c r="A82" t="str">
        <x:v>R0081</x:v>
      </x:c>
      <x:c r="B82" t="str">
        <x:v>31073</x:v>
      </x:c>
      <x:c r="C82" t="str">
        <x:v>31073</x:v>
      </x:c>
      <x:c r="D82" t="str">
        <x:v>B.Braun</x:v>
      </x:c>
      <x:c r="E82" t="str">
        <x:v>Spaceplus</x:v>
      </x:c>
      <x:c r="F82" t="str">
        <x:v>STH</x:v>
      </x:c>
      <x:c r="G82" t="str">
        <x:v>STH</x:v>
      </x:c>
      <x:c r="H82" t="str">
        <x:v>2025-09-12</x:v>
      </x:c>
      <x:c r="I82" t="str">
        <x:v>5</x:v>
      </x:c>
      <x:c r="J82" t="str">
        <x:v>2026-02-12</x:v>
      </x:c>
      <x:c r="K82"/>
      <x:c r="L82" t="str">
        <x:v>2026-02-12</x:v>
      </x:c>
      <x:c r="M82" t="str">
        <x:v>-106.0</x:v>
      </x:c>
      <x:c r="N82" t="str">
        <x:v>106.0</x:v>
      </x:c>
      <x:c r="O82" t="str">
        <x:v>เช่ายืม</x:v>
      </x:c>
      <x:c r="P82" t="str">
        <x:v>เช่ายืม</x:v>
      </x:c>
      <x:c r="Q82" t="str">
        <x:v>อยู่ระหว่างเช่ายืม / เกินกำหนดคืน 106 วัน</x:v>
      </x:c>
      <x:c r="R82"/>
      <x:c r="S82" t="str">
        <x:v>82.0</x:v>
      </x:c>
    </x:row>
    <x:row r="83">
      <x:c r="A83" t="str">
        <x:v>R0082</x:v>
      </x:c>
      <x:c r="B83" t="str">
        <x:v>31227</x:v>
      </x:c>
      <x:c r="C83" t="str">
        <x:v>31227</x:v>
      </x:c>
      <x:c r="D83" t="str">
        <x:v>B.Braun</x:v>
      </x:c>
      <x:c r="E83" t="str">
        <x:v>Spaceplus</x:v>
      </x:c>
      <x:c r="F83" t="str">
        <x:v>STH</x:v>
      </x:c>
      <x:c r="G83" t="str">
        <x:v>STH</x:v>
      </x:c>
      <x:c r="H83" t="str">
        <x:v>2025-09-12</x:v>
      </x:c>
      <x:c r="I83" t="str">
        <x:v>5</x:v>
      </x:c>
      <x:c r="J83" t="str">
        <x:v>2026-02-12</x:v>
      </x:c>
      <x:c r="K83"/>
      <x:c r="L83" t="str">
        <x:v>2026-02-12</x:v>
      </x:c>
      <x:c r="M83" t="str">
        <x:v>-106.0</x:v>
      </x:c>
      <x:c r="N83" t="str">
        <x:v>106.0</x:v>
      </x:c>
      <x:c r="O83" t="str">
        <x:v>เช่ายืม</x:v>
      </x:c>
      <x:c r="P83" t="str">
        <x:v>เช่ายืม</x:v>
      </x:c>
      <x:c r="Q83" t="str">
        <x:v>อยู่ระหว่างเช่ายืม / เกินกำหนดคืน 106 วัน</x:v>
      </x:c>
      <x:c r="R83"/>
      <x:c r="S83" t="str">
        <x:v>83.0</x:v>
      </x:c>
    </x:row>
    <x:row r="84">
      <x:c r="A84" t="str">
        <x:v>R0083</x:v>
      </x:c>
      <x:c r="B84" t="str">
        <x:v>39499</x:v>
      </x:c>
      <x:c r="C84" t="str">
        <x:v>39499</x:v>
      </x:c>
      <x:c r="D84" t="str">
        <x:v>B.Braun</x:v>
      </x:c>
      <x:c r="E84" t="str">
        <x:v>Spaceplus</x:v>
      </x:c>
      <x:c r="F84" t="str">
        <x:v>STH</x:v>
      </x:c>
      <x:c r="G84" t="str">
        <x:v>STH</x:v>
      </x:c>
      <x:c r="H84" t="str">
        <x:v>2025-09-12</x:v>
      </x:c>
      <x:c r="I84" t="str">
        <x:v>5</x:v>
      </x:c>
      <x:c r="J84" t="str">
        <x:v>2026-02-12</x:v>
      </x:c>
      <x:c r="K84"/>
      <x:c r="L84" t="str">
        <x:v>2026-02-12</x:v>
      </x:c>
      <x:c r="M84" t="str">
        <x:v>-106.0</x:v>
      </x:c>
      <x:c r="N84" t="str">
        <x:v>106.0</x:v>
      </x:c>
      <x:c r="O84" t="str">
        <x:v>เช่ายืม</x:v>
      </x:c>
      <x:c r="P84" t="str">
        <x:v>เช่ายืม</x:v>
      </x:c>
      <x:c r="Q84" t="str">
        <x:v>อยู่ระหว่างเช่ายืม / เกินกำหนดคืน 106 วัน</x:v>
      </x:c>
      <x:c r="R84"/>
      <x:c r="S84" t="str">
        <x:v>84.0</x:v>
      </x:c>
    </x:row>
    <x:row r="85">
      <x:c r="A85" t="str">
        <x:v>R0084</x:v>
      </x:c>
      <x:c r="B85" t="str">
        <x:v>39428</x:v>
      </x:c>
      <x:c r="C85" t="str">
        <x:v>39428</x:v>
      </x:c>
      <x:c r="D85" t="str">
        <x:v>B.Braun</x:v>
      </x:c>
      <x:c r="E85" t="str">
        <x:v>Spaceplus</x:v>
      </x:c>
      <x:c r="F85" t="str">
        <x:v>STH</x:v>
      </x:c>
      <x:c r="G85" t="str">
        <x:v>STH</x:v>
      </x:c>
      <x:c r="H85" t="str">
        <x:v>2025-09-12</x:v>
      </x:c>
      <x:c r="I85" t="str">
        <x:v>5</x:v>
      </x:c>
      <x:c r="J85" t="str">
        <x:v>2026-02-12</x:v>
      </x:c>
      <x:c r="K85"/>
      <x:c r="L85" t="str">
        <x:v>2026-02-12</x:v>
      </x:c>
      <x:c r="M85" t="str">
        <x:v>-106.0</x:v>
      </x:c>
      <x:c r="N85" t="str">
        <x:v>106.0</x:v>
      </x:c>
      <x:c r="O85" t="str">
        <x:v>เช่ายืม</x:v>
      </x:c>
      <x:c r="P85" t="str">
        <x:v>เช่ายืม</x:v>
      </x:c>
      <x:c r="Q85" t="str">
        <x:v>อยู่ระหว่างเช่ายืม / เกินกำหนดคืน 106 วัน</x:v>
      </x:c>
      <x:c r="R85"/>
      <x:c r="S85" t="str">
        <x:v>85.0</x:v>
      </x:c>
    </x:row>
    <x:row r="86">
      <x:c r="A86" t="str">
        <x:v>R0085</x:v>
      </x:c>
      <x:c r="B86" t="str">
        <x:v>39481</x:v>
      </x:c>
      <x:c r="C86" t="str">
        <x:v>39481</x:v>
      </x:c>
      <x:c r="D86" t="str">
        <x:v>B.Braun</x:v>
      </x:c>
      <x:c r="E86" t="str">
        <x:v>Spaceplus</x:v>
      </x:c>
      <x:c r="F86" t="str">
        <x:v>STH</x:v>
      </x:c>
      <x:c r="G86" t="str">
        <x:v>STH</x:v>
      </x:c>
      <x:c r="H86" t="str">
        <x:v>2025-09-12</x:v>
      </x:c>
      <x:c r="I86" t="str">
        <x:v>5</x:v>
      </x:c>
      <x:c r="J86" t="str">
        <x:v>2026-02-12</x:v>
      </x:c>
      <x:c r="K86"/>
      <x:c r="L86" t="str">
        <x:v>2026-02-12</x:v>
      </x:c>
      <x:c r="M86" t="str">
        <x:v>-106.0</x:v>
      </x:c>
      <x:c r="N86" t="str">
        <x:v>106.0</x:v>
      </x:c>
      <x:c r="O86" t="str">
        <x:v>เช่ายืม</x:v>
      </x:c>
      <x:c r="P86" t="str">
        <x:v>เช่ายืม</x:v>
      </x:c>
      <x:c r="Q86" t="str">
        <x:v>อยู่ระหว่างเช่ายืม / เกินกำหนดคืน 106 วัน</x:v>
      </x:c>
      <x:c r="R86"/>
      <x:c r="S86" t="str">
        <x:v>86.0</x:v>
      </x:c>
    </x:row>
    <x:row r="87">
      <x:c r="A87" t="str">
        <x:v>R0086</x:v>
      </x:c>
      <x:c r="B87" t="str">
        <x:v>39410</x:v>
      </x:c>
      <x:c r="C87" t="str">
        <x:v>39410</x:v>
      </x:c>
      <x:c r="D87" t="str">
        <x:v>B.Braun</x:v>
      </x:c>
      <x:c r="E87" t="str">
        <x:v>Spaceplus</x:v>
      </x:c>
      <x:c r="F87" t="str">
        <x:v>STH</x:v>
      </x:c>
      <x:c r="G87" t="str">
        <x:v>STH</x:v>
      </x:c>
      <x:c r="H87" t="str">
        <x:v>2025-09-12</x:v>
      </x:c>
      <x:c r="I87" t="str">
        <x:v>5</x:v>
      </x:c>
      <x:c r="J87" t="str">
        <x:v>2026-02-12</x:v>
      </x:c>
      <x:c r="K87"/>
      <x:c r="L87" t="str">
        <x:v>2026-02-12</x:v>
      </x:c>
      <x:c r="M87" t="str">
        <x:v>-106.0</x:v>
      </x:c>
      <x:c r="N87" t="str">
        <x:v>106.0</x:v>
      </x:c>
      <x:c r="O87" t="str">
        <x:v>เช่ายืม</x:v>
      </x:c>
      <x:c r="P87" t="str">
        <x:v>เช่ายืม</x:v>
      </x:c>
      <x:c r="Q87" t="str">
        <x:v>อยู่ระหว่างเช่ายืม / เกินกำหนดคืน 106 วัน</x:v>
      </x:c>
      <x:c r="R87"/>
      <x:c r="S87" t="str">
        <x:v>87.0</x:v>
      </x:c>
    </x:row>
    <x:row r="88">
      <x:c r="A88" t="str">
        <x:v>R0087</x:v>
      </x:c>
      <x:c r="B88" t="str">
        <x:v>39411</x:v>
      </x:c>
      <x:c r="C88" t="str">
        <x:v>39411</x:v>
      </x:c>
      <x:c r="D88" t="str">
        <x:v>B.Braun</x:v>
      </x:c>
      <x:c r="E88" t="str">
        <x:v>Spaceplus</x:v>
      </x:c>
      <x:c r="F88" t="str">
        <x:v>STH</x:v>
      </x:c>
      <x:c r="G88" t="str">
        <x:v>STH</x:v>
      </x:c>
      <x:c r="H88" t="str">
        <x:v>2025-09-12</x:v>
      </x:c>
      <x:c r="I88" t="str">
        <x:v>5</x:v>
      </x:c>
      <x:c r="J88" t="str">
        <x:v>2026-02-12</x:v>
      </x:c>
      <x:c r="K88"/>
      <x:c r="L88" t="str">
        <x:v>2026-02-12</x:v>
      </x:c>
      <x:c r="M88" t="str">
        <x:v>-106.0</x:v>
      </x:c>
      <x:c r="N88" t="str">
        <x:v>106.0</x:v>
      </x:c>
      <x:c r="O88" t="str">
        <x:v>เช่ายืม</x:v>
      </x:c>
      <x:c r="P88" t="str">
        <x:v>เช่ายืม</x:v>
      </x:c>
      <x:c r="Q88" t="str">
        <x:v>อยู่ระหว่างเช่ายืม / เกินกำหนดคืน 106 วัน</x:v>
      </x:c>
      <x:c r="R88"/>
      <x:c r="S88" t="str">
        <x:v>88.0</x:v>
      </x:c>
    </x:row>
    <x:row r="89">
      <x:c r="A89" t="str">
        <x:v>R0088</x:v>
      </x:c>
      <x:c r="B89" t="str">
        <x:v>137472</x:v>
      </x:c>
      <x:c r="C89" t="str">
        <x:v>137472</x:v>
      </x:c>
      <x:c r="D89" t="str">
        <x:v>B.Braun</x:v>
      </x:c>
      <x:c r="E89" t="str">
        <x:v>Infusomat Space</x:v>
      </x:c>
      <x:c r="F89" t="str">
        <x:v>ABSOLUTE HEALTH CLINIC</x:v>
      </x:c>
      <x:c r="G89" t="str">
        <x:v>ABSOLUTE HEALTH CLINIC</x:v>
      </x:c>
      <x:c r="H89" t="str">
        <x:v>2025-09-30</x:v>
      </x:c>
      <x:c r="I89" t="str">
        <x:v>5</x:v>
      </x:c>
      <x:c r="J89" t="str">
        <x:v>2026-02-28</x:v>
      </x:c>
      <x:c r="K89"/>
      <x:c r="L89" t="str">
        <x:v>2026-02-28</x:v>
      </x:c>
      <x:c r="M89" t="str">
        <x:v>-90.0</x:v>
      </x:c>
      <x:c r="N89" t="str">
        <x:v>90.0</x:v>
      </x:c>
      <x:c r="O89" t="str">
        <x:v>เช่ายืม</x:v>
      </x:c>
      <x:c r="P89" t="str">
        <x:v>เช่ายืม</x:v>
      </x:c>
      <x:c r="Q89" t="str">
        <x:v>อยู่ระหว่างเช่ายืม / เกินกำหนดคืน 90 วัน</x:v>
      </x:c>
      <x:c r="R89"/>
      <x:c r="S89" t="str">
        <x:v>89.0</x:v>
      </x:c>
    </x:row>
    <x:row r="90">
      <x:c r="A90" t="str">
        <x:v>R0089</x:v>
      </x:c>
      <x:c r="B90" t="str">
        <x:v>113314</x:v>
      </x:c>
      <x:c r="C90" t="str">
        <x:v>113314</x:v>
      </x:c>
      <x:c r="D90" t="str">
        <x:v>B.Braun</x:v>
      </x:c>
      <x:c r="E90" t="str">
        <x:v>Infusomat Space</x:v>
      </x:c>
      <x:c r="F90" t="str">
        <x:v>ABSOLUTE HEALTH CLINIC</x:v>
      </x:c>
      <x:c r="G90" t="str">
        <x:v>ABSOLUTE HEALTH CLINIC</x:v>
      </x:c>
      <x:c r="H90" t="str">
        <x:v>2025-09-30</x:v>
      </x:c>
      <x:c r="I90" t="str">
        <x:v>5</x:v>
      </x:c>
      <x:c r="J90" t="str">
        <x:v>2026-02-28</x:v>
      </x:c>
      <x:c r="K90"/>
      <x:c r="L90" t="str">
        <x:v>2026-02-28</x:v>
      </x:c>
      <x:c r="M90" t="str">
        <x:v>-90.0</x:v>
      </x:c>
      <x:c r="N90" t="str">
        <x:v>90.0</x:v>
      </x:c>
      <x:c r="O90" t="str">
        <x:v>เช่ายืม</x:v>
      </x:c>
      <x:c r="P90" t="str">
        <x:v>เช่ายืม</x:v>
      </x:c>
      <x:c r="Q90" t="str">
        <x:v>อยู่ระหว่างเช่ายืม / เกินกำหนดคืน 90 วัน</x:v>
      </x:c>
      <x:c r="R90"/>
      <x:c r="S90" t="str">
        <x:v>90.0</x:v>
      </x:c>
    </x:row>
    <x:row r="91">
      <x:c r="A91" t="str">
        <x:v>R0090</x:v>
      </x:c>
      <x:c r="B91" t="str">
        <x:v>125679</x:v>
      </x:c>
      <x:c r="C91" t="str">
        <x:v>125679</x:v>
      </x:c>
      <x:c r="D91" t="str">
        <x:v>B.Braun</x:v>
      </x:c>
      <x:c r="E91" t="str">
        <x:v>Infusomat Space</x:v>
      </x:c>
      <x:c r="F91" t="str">
        <x:v>ABSOLUTE HEALTH CLINIC</x:v>
      </x:c>
      <x:c r="G91" t="str">
        <x:v>ABSOLUTE HEALTH CLINIC</x:v>
      </x:c>
      <x:c r="H91" t="str">
        <x:v>2025-09-30</x:v>
      </x:c>
      <x:c r="I91" t="str">
        <x:v>5</x:v>
      </x:c>
      <x:c r="J91" t="str">
        <x:v>2026-02-28</x:v>
      </x:c>
      <x:c r="K91"/>
      <x:c r="L91" t="str">
        <x:v>2026-02-28</x:v>
      </x:c>
      <x:c r="M91" t="str">
        <x:v>-90.0</x:v>
      </x:c>
      <x:c r="N91" t="str">
        <x:v>90.0</x:v>
      </x:c>
      <x:c r="O91" t="str">
        <x:v>เช่ายืม</x:v>
      </x:c>
      <x:c r="P91" t="str">
        <x:v>เช่ายืม</x:v>
      </x:c>
      <x:c r="Q91" t="str">
        <x:v>อยู่ระหว่างเช่ายืม / เกินกำหนดคืน 90 วัน</x:v>
      </x:c>
      <x:c r="R91"/>
      <x:c r="S91" t="str">
        <x:v>91.0</x:v>
      </x:c>
    </x:row>
    <x:row r="92">
      <x:c r="A92" t="str">
        <x:v>R0091</x:v>
      </x:c>
      <x:c r="B92" t="str">
        <x:v>334484</x:v>
      </x:c>
      <x:c r="C92" t="str">
        <x:v>334484</x:v>
      </x:c>
      <x:c r="D92" t="str">
        <x:v>B.Braun</x:v>
      </x:c>
      <x:c r="E92" t="str">
        <x:v>Infusomat Space</x:v>
      </x:c>
      <x:c r="F92" t="str">
        <x:v>ABSOLUTE HEALTH CLINIC</x:v>
      </x:c>
      <x:c r="G92" t="str">
        <x:v>ABSOLUTE HEALTH CLINIC</x:v>
      </x:c>
      <x:c r="H92" t="str">
        <x:v>2025-09-30</x:v>
      </x:c>
      <x:c r="I92" t="str">
        <x:v>5</x:v>
      </x:c>
      <x:c r="J92" t="str">
        <x:v>2026-02-28</x:v>
      </x:c>
      <x:c r="K92"/>
      <x:c r="L92" t="str">
        <x:v>2026-02-28</x:v>
      </x:c>
      <x:c r="M92" t="str">
        <x:v>-90.0</x:v>
      </x:c>
      <x:c r="N92" t="str">
        <x:v>90.0</x:v>
      </x:c>
      <x:c r="O92" t="str">
        <x:v>เช่ายืม</x:v>
      </x:c>
      <x:c r="P92" t="str">
        <x:v>เช่ายืม</x:v>
      </x:c>
      <x:c r="Q92" t="str">
        <x:v>อยู่ระหว่างเช่ายืม / เกินกำหนดคืน 90 วัน</x:v>
      </x:c>
      <x:c r="R92"/>
      <x:c r="S92" t="str">
        <x:v>92.0</x:v>
      </x:c>
    </x:row>
    <x:row r="93">
      <x:c r="A93" t="str">
        <x:v>R0092</x:v>
      </x:c>
      <x:c r="B93" t="str">
        <x:v>124759</x:v>
      </x:c>
      <x:c r="C93" t="str">
        <x:v>124759</x:v>
      </x:c>
      <x:c r="D93" t="str">
        <x:v>B.Braun</x:v>
      </x:c>
      <x:c r="E93" t="str">
        <x:v>Infusomat Space</x:v>
      </x:c>
      <x:c r="F93" t="str">
        <x:v>ABSOLUTE HEALTH CLINIC</x:v>
      </x:c>
      <x:c r="G93" t="str">
        <x:v>ABSOLUTE HEALTH CLINIC</x:v>
      </x:c>
      <x:c r="H93" t="str">
        <x:v>2025-09-30</x:v>
      </x:c>
      <x:c r="I93" t="str">
        <x:v>5</x:v>
      </x:c>
      <x:c r="J93" t="str">
        <x:v>2026-02-28</x:v>
      </x:c>
      <x:c r="K93"/>
      <x:c r="L93" t="str">
        <x:v>2026-02-28</x:v>
      </x:c>
      <x:c r="M93" t="str">
        <x:v>-90.0</x:v>
      </x:c>
      <x:c r="N93" t="str">
        <x:v>90.0</x:v>
      </x:c>
      <x:c r="O93" t="str">
        <x:v>เช่ายืม</x:v>
      </x:c>
      <x:c r="P93" t="str">
        <x:v>เช่ายืม</x:v>
      </x:c>
      <x:c r="Q93" t="str">
        <x:v>อยู่ระหว่างเช่ายืม / เกินกำหนดคืน 90 วัน</x:v>
      </x:c>
      <x:c r="R93"/>
      <x:c r="S93" t="str">
        <x:v>93.0</x:v>
      </x:c>
    </x:row>
    <x:row r="94">
      <x:c r="A94" t="str">
        <x:v>R0093</x:v>
      </x:c>
      <x:c r="B94" t="str">
        <x:v>112655</x:v>
      </x:c>
      <x:c r="C94" t="str">
        <x:v>112655</x:v>
      </x:c>
      <x:c r="D94" t="str">
        <x:v>B.Braun</x:v>
      </x:c>
      <x:c r="E94" t="str">
        <x:v>Infusomat Space</x:v>
      </x:c>
      <x:c r="F94" t="str">
        <x:v>ABSOLUTE HEALTH CLINIC</x:v>
      </x:c>
      <x:c r="G94" t="str">
        <x:v>ABSOLUTE HEALTH CLINIC</x:v>
      </x:c>
      <x:c r="H94" t="str">
        <x:v>2025-09-30</x:v>
      </x:c>
      <x:c r="I94" t="str">
        <x:v>5</x:v>
      </x:c>
      <x:c r="J94" t="str">
        <x:v>2026-02-28</x:v>
      </x:c>
      <x:c r="K94"/>
      <x:c r="L94" t="str">
        <x:v>2026-02-28</x:v>
      </x:c>
      <x:c r="M94" t="str">
        <x:v>-90.0</x:v>
      </x:c>
      <x:c r="N94" t="str">
        <x:v>90.0</x:v>
      </x:c>
      <x:c r="O94" t="str">
        <x:v>เช่ายืม</x:v>
      </x:c>
      <x:c r="P94" t="str">
        <x:v>เช่ายืม</x:v>
      </x:c>
      <x:c r="Q94" t="str">
        <x:v>อยู่ระหว่างเช่ายืม / เกินกำหนดคืน 90 วัน</x:v>
      </x:c>
      <x:c r="R94"/>
      <x:c r="S94" t="str">
        <x:v>94.0</x:v>
      </x:c>
    </x:row>
    <x:row r="95">
      <x:c r="A95" t="str">
        <x:v>R0094</x:v>
      </x:c>
      <x:c r="B95" t="str">
        <x:v>137870</x:v>
      </x:c>
      <x:c r="C95" t="str">
        <x:v>137870</x:v>
      </x:c>
      <x:c r="D95" t="str">
        <x:v>B.Braun</x:v>
      </x:c>
      <x:c r="E95" t="str">
        <x:v>Infusomat Space</x:v>
      </x:c>
      <x:c r="F95" t="str">
        <x:v>ABSOLUTE HEALTH CLINIC</x:v>
      </x:c>
      <x:c r="G95" t="str">
        <x:v>ABSOLUTE HEALTH CLINIC</x:v>
      </x:c>
      <x:c r="H95" t="str">
        <x:v>2025-09-30</x:v>
      </x:c>
      <x:c r="I95" t="str">
        <x:v>5</x:v>
      </x:c>
      <x:c r="J95" t="str">
        <x:v>2026-02-28</x:v>
      </x:c>
      <x:c r="K95"/>
      <x:c r="L95" t="str">
        <x:v>2026-02-28</x:v>
      </x:c>
      <x:c r="M95" t="str">
        <x:v>-90.0</x:v>
      </x:c>
      <x:c r="N95" t="str">
        <x:v>90.0</x:v>
      </x:c>
      <x:c r="O95" t="str">
        <x:v>เช่ายืม</x:v>
      </x:c>
      <x:c r="P95" t="str">
        <x:v>เช่ายืม</x:v>
      </x:c>
      <x:c r="Q95" t="str">
        <x:v>อยู่ระหว่างเช่ายืม / เกินกำหนดคืน 90 วัน</x:v>
      </x:c>
      <x:c r="R95"/>
      <x:c r="S95" t="str">
        <x:v>95.0</x:v>
      </x:c>
    </x:row>
    <x:row r="96">
      <x:c r="A96" t="str">
        <x:v>R0095</x:v>
      </x:c>
      <x:c r="B96" t="str">
        <x:v>138832</x:v>
      </x:c>
      <x:c r="C96" t="str">
        <x:v>138832</x:v>
      </x:c>
      <x:c r="D96" t="str">
        <x:v>B.Braun</x:v>
      </x:c>
      <x:c r="E96" t="str">
        <x:v>Infusomat Space</x:v>
      </x:c>
      <x:c r="F96" t="str">
        <x:v>ABSOLUTE HEALTH CLINIC</x:v>
      </x:c>
      <x:c r="G96" t="str">
        <x:v>ABSOLUTE HEALTH CLINIC</x:v>
      </x:c>
      <x:c r="H96" t="str">
        <x:v>2025-09-30</x:v>
      </x:c>
      <x:c r="I96" t="str">
        <x:v>5</x:v>
      </x:c>
      <x:c r="J96" t="str">
        <x:v>2026-02-28</x:v>
      </x:c>
      <x:c r="K96"/>
      <x:c r="L96" t="str">
        <x:v>2026-02-28</x:v>
      </x:c>
      <x:c r="M96" t="str">
        <x:v>-90.0</x:v>
      </x:c>
      <x:c r="N96" t="str">
        <x:v>90.0</x:v>
      </x:c>
      <x:c r="O96" t="str">
        <x:v>เช่ายืม</x:v>
      </x:c>
      <x:c r="P96" t="str">
        <x:v>เช่ายืม</x:v>
      </x:c>
      <x:c r="Q96" t="str">
        <x:v>อยู่ระหว่างเช่ายืม / เกินกำหนดคืน 90 วัน</x:v>
      </x:c>
      <x:c r="R96"/>
      <x:c r="S96" t="str">
        <x:v>96.0</x:v>
      </x:c>
    </x:row>
    <x:row r="97">
      <x:c r="A97" t="str">
        <x:v>R0096</x:v>
      </x:c>
      <x:c r="B97" t="str">
        <x:v>468356</x:v>
      </x:c>
      <x:c r="C97" t="str">
        <x:v>468356</x:v>
      </x:c>
      <x:c r="D97" t="str">
        <x:v>B.Braun</x:v>
      </x:c>
      <x:c r="E97" t="str">
        <x:v>Infusomat Space</x:v>
      </x:c>
      <x:c r="F97" t="str">
        <x:v>ABSOLUTE HEALTH CLINIC</x:v>
      </x:c>
      <x:c r="G97" t="str">
        <x:v>ABSOLUTE HEALTH CLINIC</x:v>
      </x:c>
      <x:c r="H97" t="str">
        <x:v>2025-09-30</x:v>
      </x:c>
      <x:c r="I97" t="str">
        <x:v>5</x:v>
      </x:c>
      <x:c r="J97" t="str">
        <x:v>2026-02-28</x:v>
      </x:c>
      <x:c r="K97"/>
      <x:c r="L97" t="str">
        <x:v>2026-02-28</x:v>
      </x:c>
      <x:c r="M97" t="str">
        <x:v>-90.0</x:v>
      </x:c>
      <x:c r="N97" t="str">
        <x:v>90.0</x:v>
      </x:c>
      <x:c r="O97" t="str">
        <x:v>เช่ายืม</x:v>
      </x:c>
      <x:c r="P97" t="str">
        <x:v>เช่ายืม</x:v>
      </x:c>
      <x:c r="Q97" t="str">
        <x:v>อยู่ระหว่างเช่ายืม / เกินกำหนดคืน 90 วัน</x:v>
      </x:c>
      <x:c r="R97"/>
      <x:c r="S97" t="str">
        <x:v>97.0</x:v>
      </x:c>
    </x:row>
    <x:row r="98">
      <x:c r="A98" t="str">
        <x:v>R0097</x:v>
      </x:c>
      <x:c r="B98" t="str">
        <x:v>124396</x:v>
      </x:c>
      <x:c r="C98" t="str">
        <x:v>124396</x:v>
      </x:c>
      <x:c r="D98" t="str">
        <x:v>B.Braun</x:v>
      </x:c>
      <x:c r="E98" t="str">
        <x:v>Infusomat Space</x:v>
      </x:c>
      <x:c r="F98" t="str">
        <x:v>ABSOLUTE HEALTH CLINIC</x:v>
      </x:c>
      <x:c r="G98" t="str">
        <x:v>ABSOLUTE HEALTH CLINIC</x:v>
      </x:c>
      <x:c r="H98" t="str">
        <x:v>2025-09-30</x:v>
      </x:c>
      <x:c r="I98" t="str">
        <x:v>5</x:v>
      </x:c>
      <x:c r="J98" t="str">
        <x:v>2026-02-28</x:v>
      </x:c>
      <x:c r="K98"/>
      <x:c r="L98" t="str">
        <x:v>2026-02-28</x:v>
      </x:c>
      <x:c r="M98" t="str">
        <x:v>-90.0</x:v>
      </x:c>
      <x:c r="N98" t="str">
        <x:v>90.0</x:v>
      </x:c>
      <x:c r="O98" t="str">
        <x:v>เช่ายืม</x:v>
      </x:c>
      <x:c r="P98" t="str">
        <x:v>เช่ายืม</x:v>
      </x:c>
      <x:c r="Q98" t="str">
        <x:v>อยู่ระหว่างเช่ายืม / เกินกำหนดคืน 90 วัน</x:v>
      </x:c>
      <x:c r="R98"/>
      <x:c r="S98" t="str">
        <x:v>98.0</x:v>
      </x:c>
    </x:row>
    <x:row r="99">
      <x:c r="A99" t="str">
        <x:v>R0098</x:v>
      </x:c>
      <x:c r="B99" t="str">
        <x:v>125660</x:v>
      </x:c>
      <x:c r="C99" t="str">
        <x:v>125660</x:v>
      </x:c>
      <x:c r="D99" t="str">
        <x:v>B.Braun</x:v>
      </x:c>
      <x:c r="E99" t="str">
        <x:v>Infusomat Space</x:v>
      </x:c>
      <x:c r="F99" t="str">
        <x:v>ABSOLUTE HEALTH CLINIC</x:v>
      </x:c>
      <x:c r="G99" t="str">
        <x:v>ABSOLUTE HEALTH CLINIC</x:v>
      </x:c>
      <x:c r="H99" t="str">
        <x:v>2025-09-30</x:v>
      </x:c>
      <x:c r="I99" t="str">
        <x:v>5</x:v>
      </x:c>
      <x:c r="J99" t="str">
        <x:v>2026-02-28</x:v>
      </x:c>
      <x:c r="K99"/>
      <x:c r="L99" t="str">
        <x:v>2026-02-28</x:v>
      </x:c>
      <x:c r="M99" t="str">
        <x:v>-90.0</x:v>
      </x:c>
      <x:c r="N99" t="str">
        <x:v>90.0</x:v>
      </x:c>
      <x:c r="O99" t="str">
        <x:v>เช่ายืม</x:v>
      </x:c>
      <x:c r="P99" t="str">
        <x:v>เช่ายืม</x:v>
      </x:c>
      <x:c r="Q99" t="str">
        <x:v>อยู่ระหว่างเช่ายืม / เกินกำหนดคืน 90 วัน</x:v>
      </x:c>
      <x:c r="R99"/>
      <x:c r="S99" t="str">
        <x:v>99.0</x:v>
      </x:c>
    </x:row>
    <x:row r="100">
      <x:c r="A100" t="str">
        <x:v>R0099</x:v>
      </x:c>
      <x:c r="B100" t="str">
        <x:v>102992</x:v>
      </x:c>
      <x:c r="C100" t="str">
        <x:v>102992</x:v>
      </x:c>
      <x:c r="D100" t="str">
        <x:v>B.Braun</x:v>
      </x:c>
      <x:c r="E100" t="str">
        <x:v>Infusomat Space</x:v>
      </x:c>
      <x:c r="F100" t="str">
        <x:v>ABSOLUTE HEALTH CLINIC</x:v>
      </x:c>
      <x:c r="G100" t="str">
        <x:v>ABSOLUTE HEALTH CLINIC</x:v>
      </x:c>
      <x:c r="H100" t="str">
        <x:v>2025-09-30</x:v>
      </x:c>
      <x:c r="I100" t="str">
        <x:v>5</x:v>
      </x:c>
      <x:c r="J100" t="str">
        <x:v>2026-02-28</x:v>
      </x:c>
      <x:c r="K100"/>
      <x:c r="L100" t="str">
        <x:v>2026-02-28</x:v>
      </x:c>
      <x:c r="M100" t="str">
        <x:v>-90.0</x:v>
      </x:c>
      <x:c r="N100" t="str">
        <x:v>90.0</x:v>
      </x:c>
      <x:c r="O100" t="str">
        <x:v>เช่ายืม</x:v>
      </x:c>
      <x:c r="P100" t="str">
        <x:v>เช่ายืม</x:v>
      </x:c>
      <x:c r="Q100" t="str">
        <x:v>อยู่ระหว่างเช่ายืม / เกินกำหนดคืน 90 วัน</x:v>
      </x:c>
      <x:c r="R100"/>
      <x:c r="S100" t="str">
        <x:v>100.0</x:v>
      </x:c>
    </x:row>
    <x:row r="101">
      <x:c r="A101" t="str">
        <x:v>R0100</x:v>
      </x:c>
      <x:c r="B101" t="str">
        <x:v>102984</x:v>
      </x:c>
      <x:c r="C101" t="str">
        <x:v>102984</x:v>
      </x:c>
      <x:c r="D101" t="str">
        <x:v>B.Braun</x:v>
      </x:c>
      <x:c r="E101" t="str">
        <x:v>Infusomat Space</x:v>
      </x:c>
      <x:c r="F101" t="str">
        <x:v>ABSOLUTE HEALTH CLINIC</x:v>
      </x:c>
      <x:c r="G101" t="str">
        <x:v>ABSOLUTE HEALTH CLINIC</x:v>
      </x:c>
      <x:c r="H101" t="str">
        <x:v>2025-09-30</x:v>
      </x:c>
      <x:c r="I101" t="str">
        <x:v>5</x:v>
      </x:c>
      <x:c r="J101" t="str">
        <x:v>2026-02-28</x:v>
      </x:c>
      <x:c r="K101"/>
      <x:c r="L101" t="str">
        <x:v>2026-02-28</x:v>
      </x:c>
      <x:c r="M101" t="str">
        <x:v>-90.0</x:v>
      </x:c>
      <x:c r="N101" t="str">
        <x:v>90.0</x:v>
      </x:c>
      <x:c r="O101" t="str">
        <x:v>เช่ายืม</x:v>
      </x:c>
      <x:c r="P101" t="str">
        <x:v>เช่ายืม</x:v>
      </x:c>
      <x:c r="Q101" t="str">
        <x:v>อยู่ระหว่างเช่ายืม / เกินกำหนดคืน 90 วัน</x:v>
      </x:c>
      <x:c r="R101"/>
      <x:c r="S101" t="str">
        <x:v>101.0</x:v>
      </x:c>
    </x:row>
    <x:row r="102">
      <x:c r="A102" t="str">
        <x:v>R0101</x:v>
      </x:c>
      <x:c r="B102" t="str">
        <x:v>506477</x:v>
      </x:c>
      <x:c r="C102" t="str">
        <x:v>506477</x:v>
      </x:c>
      <x:c r="D102" t="str">
        <x:v>B.Braun</x:v>
      </x:c>
      <x:c r="E102" t="str">
        <x:v>Infusomat Space</x:v>
      </x:c>
      <x:c r="F102" t="str">
        <x:v>ABSOLUTE HEALTH CLINIC</x:v>
      </x:c>
      <x:c r="G102" t="str">
        <x:v>ABSOLUTE HEALTH CLINIC</x:v>
      </x:c>
      <x:c r="H102" t="str">
        <x:v>2025-09-30</x:v>
      </x:c>
      <x:c r="I102" t="str">
        <x:v>5</x:v>
      </x:c>
      <x:c r="J102" t="str">
        <x:v>2026-02-28</x:v>
      </x:c>
      <x:c r="K102"/>
      <x:c r="L102" t="str">
        <x:v>2026-02-28</x:v>
      </x:c>
      <x:c r="M102" t="str">
        <x:v>-90.0</x:v>
      </x:c>
      <x:c r="N102" t="str">
        <x:v>90.0</x:v>
      </x:c>
      <x:c r="O102" t="str">
        <x:v>เช่ายืม</x:v>
      </x:c>
      <x:c r="P102" t="str">
        <x:v>เช่ายืม</x:v>
      </x:c>
      <x:c r="Q102" t="str">
        <x:v>อยู่ระหว่างเช่ายืม / เกินกำหนดคืน 90 วัน</x:v>
      </x:c>
      <x:c r="R102"/>
      <x:c r="S102" t="str">
        <x:v>102.0</x:v>
      </x:c>
    </x:row>
    <x:row r="103">
      <x:c r="A103" t="str">
        <x:v>R0102</x:v>
      </x:c>
      <x:c r="B103" t="str">
        <x:v>334586</x:v>
      </x:c>
      <x:c r="C103" t="str">
        <x:v>334586</x:v>
      </x:c>
      <x:c r="D103" t="str">
        <x:v>B.Braun</x:v>
      </x:c>
      <x:c r="E103" t="str">
        <x:v>Infusomat Space</x:v>
      </x:c>
      <x:c r="F103" t="str">
        <x:v>ABSOLUTE HEALTH CLINIC</x:v>
      </x:c>
      <x:c r="G103" t="str">
        <x:v>ABSOLUTE HEALTH CLINIC</x:v>
      </x:c>
      <x:c r="H103" t="str">
        <x:v>2025-09-30</x:v>
      </x:c>
      <x:c r="I103" t="str">
        <x:v>5</x:v>
      </x:c>
      <x:c r="J103" t="str">
        <x:v>2026-02-28</x:v>
      </x:c>
      <x:c r="K103"/>
      <x:c r="L103" t="str">
        <x:v>2026-02-28</x:v>
      </x:c>
      <x:c r="M103" t="str">
        <x:v>-90.0</x:v>
      </x:c>
      <x:c r="N103" t="str">
        <x:v>90.0</x:v>
      </x:c>
      <x:c r="O103" t="str">
        <x:v>เช่ายืม</x:v>
      </x:c>
      <x:c r="P103" t="str">
        <x:v>เช่ายืม</x:v>
      </x:c>
      <x:c r="Q103" t="str">
        <x:v>อยู่ระหว่างเช่ายืม / เกินกำหนดคืน 90 วัน</x:v>
      </x:c>
      <x:c r="R103"/>
      <x:c r="S103" t="str">
        <x:v>103.0</x:v>
      </x:c>
    </x:row>
    <x:row r="104">
      <x:c r="A104" t="str">
        <x:v>R0103</x:v>
      </x:c>
      <x:c r="B104" t="str">
        <x:v>252110</x:v>
      </x:c>
      <x:c r="C104" t="str">
        <x:v>252110</x:v>
      </x:c>
      <x:c r="D104" t="str">
        <x:v>B.Braun</x:v>
      </x:c>
      <x:c r="E104" t="str">
        <x:v>Infusomat Space</x:v>
      </x:c>
      <x:c r="F104" t="str">
        <x:v>ABSOLUTE HEALTH CLINIC</x:v>
      </x:c>
      <x:c r="G104" t="str">
        <x:v>ABSOLUTE HEALTH CLINIC</x:v>
      </x:c>
      <x:c r="H104" t="str">
        <x:v>2025-09-30</x:v>
      </x:c>
      <x:c r="I104" t="str">
        <x:v>5</x:v>
      </x:c>
      <x:c r="J104" t="str">
        <x:v>2026-02-28</x:v>
      </x:c>
      <x:c r="K104"/>
      <x:c r="L104" t="str">
        <x:v>2026-02-28</x:v>
      </x:c>
      <x:c r="M104" t="str">
        <x:v>-90.0</x:v>
      </x:c>
      <x:c r="N104" t="str">
        <x:v>90.0</x:v>
      </x:c>
      <x:c r="O104" t="str">
        <x:v>เช่ายืม</x:v>
      </x:c>
      <x:c r="P104" t="str">
        <x:v>เช่ายืม</x:v>
      </x:c>
      <x:c r="Q104" t="str">
        <x:v>อยู่ระหว่างเช่ายืม / เกินกำหนดคืน 90 วัน</x:v>
      </x:c>
      <x:c r="R104"/>
      <x:c r="S104" t="str">
        <x:v>104.0</x:v>
      </x:c>
    </x:row>
    <x:row r="105">
      <x:c r="A105" t="str">
        <x:v>R0104</x:v>
      </x:c>
      <x:c r="B105" t="str">
        <x:v>200925</x:v>
      </x:c>
      <x:c r="C105" t="str">
        <x:v>200925</x:v>
      </x:c>
      <x:c r="D105" t="str">
        <x:v>B.Braun</x:v>
      </x:c>
      <x:c r="E105" t="str">
        <x:v>Infusomat Space</x:v>
      </x:c>
      <x:c r="F105" t="str">
        <x:v>ABSOLUTE HEALTH CLINIC</x:v>
      </x:c>
      <x:c r="G105" t="str">
        <x:v>ABSOLUTE HEALTH CLINIC</x:v>
      </x:c>
      <x:c r="H105" t="str">
        <x:v>2025-09-30</x:v>
      </x:c>
      <x:c r="I105" t="str">
        <x:v>5</x:v>
      </x:c>
      <x:c r="J105" t="str">
        <x:v>2026-02-28</x:v>
      </x:c>
      <x:c r="K105"/>
      <x:c r="L105" t="str">
        <x:v>2026-02-28</x:v>
      </x:c>
      <x:c r="M105" t="str">
        <x:v>-90.0</x:v>
      </x:c>
      <x:c r="N105" t="str">
        <x:v>90.0</x:v>
      </x:c>
      <x:c r="O105" t="str">
        <x:v>เช่ายืม</x:v>
      </x:c>
      <x:c r="P105" t="str">
        <x:v>เช่ายืม</x:v>
      </x:c>
      <x:c r="Q105" t="str">
        <x:v>อยู่ระหว่างเช่ายืม / เกินกำหนดคืน 90 วัน</x:v>
      </x:c>
      <x:c r="R105"/>
      <x:c r="S105" t="str">
        <x:v>105.0</x:v>
      </x:c>
    </x:row>
    <x:row r="106">
      <x:c r="A106" t="str">
        <x:v>R0105</x:v>
      </x:c>
      <x:c r="B106" t="str">
        <x:v>292421</x:v>
      </x:c>
      <x:c r="C106" t="str">
        <x:v>292421</x:v>
      </x:c>
      <x:c r="D106" t="str">
        <x:v>B.Braun</x:v>
      </x:c>
      <x:c r="E106" t="str">
        <x:v>Infusomat Space</x:v>
      </x:c>
      <x:c r="F106" t="str">
        <x:v>ABSOLUTE HEALTH CLINIC</x:v>
      </x:c>
      <x:c r="G106" t="str">
        <x:v>ABSOLUTE HEALTH CLINIC</x:v>
      </x:c>
      <x:c r="H106" t="str">
        <x:v>2025-09-30</x:v>
      </x:c>
      <x:c r="I106" t="str">
        <x:v>5</x:v>
      </x:c>
      <x:c r="J106" t="str">
        <x:v>2026-02-28</x:v>
      </x:c>
      <x:c r="K106"/>
      <x:c r="L106" t="str">
        <x:v>2026-02-28</x:v>
      </x:c>
      <x:c r="M106" t="str">
        <x:v>-90.0</x:v>
      </x:c>
      <x:c r="N106" t="str">
        <x:v>90.0</x:v>
      </x:c>
      <x:c r="O106" t="str">
        <x:v>เช่ายืม</x:v>
      </x:c>
      <x:c r="P106" t="str">
        <x:v>เช่ายืม</x:v>
      </x:c>
      <x:c r="Q106" t="str">
        <x:v>อยู่ระหว่างเช่ายืม / เกินกำหนดคืน 90 วัน</x:v>
      </x:c>
      <x:c r="R106"/>
      <x:c r="S106" t="str">
        <x:v>106.0</x:v>
      </x:c>
    </x:row>
    <x:row r="107">
      <x:c r="A107" t="str">
        <x:v>R0106</x:v>
      </x:c>
      <x:c r="B107" t="str">
        <x:v>102958</x:v>
      </x:c>
      <x:c r="C107" t="str">
        <x:v>102958</x:v>
      </x:c>
      <x:c r="D107" t="str">
        <x:v>B.Braun</x:v>
      </x:c>
      <x:c r="E107" t="str">
        <x:v>Infusomat Space</x:v>
      </x:c>
      <x:c r="F107" t="str">
        <x:v>ABSOLUTE HEALTH CLINIC</x:v>
      </x:c>
      <x:c r="G107" t="str">
        <x:v>ABSOLUTE HEALTH CLINIC</x:v>
      </x:c>
      <x:c r="H107" t="str">
        <x:v>2025-09-30</x:v>
      </x:c>
      <x:c r="I107" t="str">
        <x:v>5</x:v>
      </x:c>
      <x:c r="J107" t="str">
        <x:v>2026-02-28</x:v>
      </x:c>
      <x:c r="K107"/>
      <x:c r="L107" t="str">
        <x:v>2026-02-28</x:v>
      </x:c>
      <x:c r="M107" t="str">
        <x:v>-90.0</x:v>
      </x:c>
      <x:c r="N107" t="str">
        <x:v>90.0</x:v>
      </x:c>
      <x:c r="O107" t="str">
        <x:v>เช่ายืม</x:v>
      </x:c>
      <x:c r="P107" t="str">
        <x:v>เช่ายืม</x:v>
      </x:c>
      <x:c r="Q107" t="str">
        <x:v>อยู่ระหว่างเช่ายืม / เกินกำหนดคืน 90 วัน</x:v>
      </x:c>
      <x:c r="R107"/>
      <x:c r="S107" t="str">
        <x:v>107.0</x:v>
      </x:c>
    </x:row>
    <x:row r="108">
      <x:c r="A108" t="str">
        <x:v>R0107</x:v>
      </x:c>
      <x:c r="B108" t="str">
        <x:v>102902</x:v>
      </x:c>
      <x:c r="C108" t="str">
        <x:v>102902</x:v>
      </x:c>
      <x:c r="D108" t="str">
        <x:v>B.Braun</x:v>
      </x:c>
      <x:c r="E108" t="str">
        <x:v>Infusomat Space</x:v>
      </x:c>
      <x:c r="F108" t="str">
        <x:v>ABSOLUTE HEALTH CLINIC</x:v>
      </x:c>
      <x:c r="G108" t="str">
        <x:v>ABSOLUTE HEALTH CLINIC</x:v>
      </x:c>
      <x:c r="H108" t="str">
        <x:v>2025-09-30</x:v>
      </x:c>
      <x:c r="I108" t="str">
        <x:v>5</x:v>
      </x:c>
      <x:c r="J108" t="str">
        <x:v>2026-02-28</x:v>
      </x:c>
      <x:c r="K108"/>
      <x:c r="L108" t="str">
        <x:v>2026-02-28</x:v>
      </x:c>
      <x:c r="M108" t="str">
        <x:v>-90.0</x:v>
      </x:c>
      <x:c r="N108" t="str">
        <x:v>90.0</x:v>
      </x:c>
      <x:c r="O108" t="str">
        <x:v>เช่ายืม</x:v>
      </x:c>
      <x:c r="P108" t="str">
        <x:v>เช่ายืม</x:v>
      </x:c>
      <x:c r="Q108" t="str">
        <x:v>อยู่ระหว่างเช่ายืม / เกินกำหนดคืน 90 วัน</x:v>
      </x:c>
      <x:c r="R108"/>
      <x:c r="S108" t="str">
        <x:v>108.0</x:v>
      </x:c>
    </x:row>
    <x:row r="109">
      <x:c r="A109" t="str">
        <x:v>R0108</x:v>
      </x:c>
      <x:c r="B109" t="str">
        <x:v>NHBB0128</x:v>
      </x:c>
      <x:c r="C109" t="str">
        <x:v>468346</x:v>
      </x:c>
      <x:c r="D109" t="str">
        <x:v>B.Braun</x:v>
      </x:c>
      <x:c r="E109" t="str">
        <x:v>Infusomat Space</x:v>
      </x:c>
      <x:c r="F109" t="str">
        <x:v>ABSOLUTE HEALTH CLINIC</x:v>
      </x:c>
      <x:c r="G109" t="str">
        <x:v>ABSOLUTE HEALTH CLINIC</x:v>
      </x:c>
      <x:c r="H109" t="str">
        <x:v>2025-09-30</x:v>
      </x:c>
      <x:c r="I109" t="str">
        <x:v>5</x:v>
      </x:c>
      <x:c r="J109" t="str">
        <x:v>2026-02-28</x:v>
      </x:c>
      <x:c r="K109"/>
      <x:c r="L109" t="str">
        <x:v>2026-02-28</x:v>
      </x:c>
      <x:c r="M109" t="str">
        <x:v>-90.0</x:v>
      </x:c>
      <x:c r="N109" t="str">
        <x:v>90.0</x:v>
      </x:c>
      <x:c r="O109" t="str">
        <x:v>เช่ายืม</x:v>
      </x:c>
      <x:c r="P109" t="str">
        <x:v>เช่ายืม</x:v>
      </x:c>
      <x:c r="Q109" t="str">
        <x:v>อยู่ระหว่างเช่ายืม / เกินกำหนดคืน 90 วัน</x:v>
      </x:c>
      <x:c r="R109"/>
      <x:c r="S109" t="str">
        <x:v>109.0</x:v>
      </x:c>
    </x:row>
    <x:row r="110">
      <x:c r="A110" t="str">
        <x:v>R0109</x:v>
      </x:c>
      <x:c r="B110" t="str">
        <x:v>NHBB0129</x:v>
      </x:c>
      <x:c r="C110" t="str">
        <x:v>468323</x:v>
      </x:c>
      <x:c r="D110" t="str">
        <x:v>B.Braun</x:v>
      </x:c>
      <x:c r="E110" t="str">
        <x:v>Infusomat Space</x:v>
      </x:c>
      <x:c r="F110" t="str">
        <x:v>ABSOLUTE HEALTH CLINIC</x:v>
      </x:c>
      <x:c r="G110" t="str">
        <x:v>ABSOLUTE HEALTH CLINIC</x:v>
      </x:c>
      <x:c r="H110" t="str">
        <x:v>2025-09-30</x:v>
      </x:c>
      <x:c r="I110" t="str">
        <x:v>5</x:v>
      </x:c>
      <x:c r="J110" t="str">
        <x:v>2026-02-28</x:v>
      </x:c>
      <x:c r="K110"/>
      <x:c r="L110" t="str">
        <x:v>2026-02-28</x:v>
      </x:c>
      <x:c r="M110" t="str">
        <x:v>-90.0</x:v>
      </x:c>
      <x:c r="N110" t="str">
        <x:v>90.0</x:v>
      </x:c>
      <x:c r="O110" t="str">
        <x:v>เช่ายืม</x:v>
      </x:c>
      <x:c r="P110" t="str">
        <x:v>เช่ายืม</x:v>
      </x:c>
      <x:c r="Q110" t="str">
        <x:v>อยู่ระหว่างเช่ายืม / เกินกำหนดคืน 90 วัน</x:v>
      </x:c>
      <x:c r="R110"/>
      <x:c r="S110" t="str">
        <x:v>110.0</x:v>
      </x:c>
    </x:row>
    <x:row r="111">
      <x:c r="A111" t="str">
        <x:v>R0110</x:v>
      </x:c>
      <x:c r="B111" t="str">
        <x:v>NHBB0123</x:v>
      </x:c>
      <x:c r="C111" t="str">
        <x:v>255012</x:v>
      </x:c>
      <x:c r="D111" t="str">
        <x:v>B.Braun</x:v>
      </x:c>
      <x:c r="E111" t="str">
        <x:v>Infusomat Space</x:v>
      </x:c>
      <x:c r="F111" t="str">
        <x:v>ABSOLUTE HEALTH CLINIC</x:v>
      </x:c>
      <x:c r="G111" t="str">
        <x:v>ABSOLUTE HEALTH CLINIC</x:v>
      </x:c>
      <x:c r="H111" t="str">
        <x:v>2025-09-30</x:v>
      </x:c>
      <x:c r="I111" t="str">
        <x:v>5</x:v>
      </x:c>
      <x:c r="J111" t="str">
        <x:v>2026-02-28</x:v>
      </x:c>
      <x:c r="K111"/>
      <x:c r="L111" t="str">
        <x:v>2026-02-28</x:v>
      </x:c>
      <x:c r="M111" t="str">
        <x:v>-90.0</x:v>
      </x:c>
      <x:c r="N111" t="str">
        <x:v>90.0</x:v>
      </x:c>
      <x:c r="O111" t="str">
        <x:v>เช่ายืม</x:v>
      </x:c>
      <x:c r="P111" t="str">
        <x:v>เช่ายืม</x:v>
      </x:c>
      <x:c r="Q111" t="str">
        <x:v>อยู่ระหว่างเช่ายืม / เกินกำหนดคืน 90 วัน</x:v>
      </x:c>
      <x:c r="R111"/>
      <x:c r="S111" t="str">
        <x:v>111.0</x:v>
      </x:c>
    </x:row>
    <x:row r="112">
      <x:c r="A112" t="str">
        <x:v>R0111</x:v>
      </x:c>
      <x:c r="B112" t="str">
        <x:v>NHBB0122</x:v>
      </x:c>
      <x:c r="C112" t="str">
        <x:v>254758</x:v>
      </x:c>
      <x:c r="D112" t="str">
        <x:v>B.Braun</x:v>
      </x:c>
      <x:c r="E112" t="str">
        <x:v>Infusomat Space</x:v>
      </x:c>
      <x:c r="F112" t="str">
        <x:v>ABSOLUTE HEALTH CLINIC</x:v>
      </x:c>
      <x:c r="G112" t="str">
        <x:v>ABSOLUTE HEALTH CLINIC</x:v>
      </x:c>
      <x:c r="H112" t="str">
        <x:v>2025-09-30</x:v>
      </x:c>
      <x:c r="I112" t="str">
        <x:v>5</x:v>
      </x:c>
      <x:c r="J112" t="str">
        <x:v>2026-02-28</x:v>
      </x:c>
      <x:c r="K112"/>
      <x:c r="L112" t="str">
        <x:v>2026-02-28</x:v>
      </x:c>
      <x:c r="M112" t="str">
        <x:v>-90.0</x:v>
      </x:c>
      <x:c r="N112" t="str">
        <x:v>90.0</x:v>
      </x:c>
      <x:c r="O112" t="str">
        <x:v>เช่ายืม</x:v>
      </x:c>
      <x:c r="P112" t="str">
        <x:v>เช่ายืม</x:v>
      </x:c>
      <x:c r="Q112" t="str">
        <x:v>อยู่ระหว่างเช่ายืม / เกินกำหนดคืน 90 วัน</x:v>
      </x:c>
      <x:c r="R112"/>
      <x:c r="S112" t="str">
        <x:v>112.0</x:v>
      </x:c>
    </x:row>
    <x:row r="113">
      <x:c r="A113" t="str">
        <x:v>R0112</x:v>
      </x:c>
      <x:c r="B113" t="str">
        <x:v>NHBB0107</x:v>
      </x:c>
      <x:c r="C113" t="str">
        <x:v>468208</x:v>
      </x:c>
      <x:c r="D113" t="str">
        <x:v>B.Braun</x:v>
      </x:c>
      <x:c r="E113" t="str">
        <x:v>Infusomat Space</x:v>
      </x:c>
      <x:c r="F113" t="str">
        <x:v>ABSOLUTE HEALTH CLINIC</x:v>
      </x:c>
      <x:c r="G113" t="str">
        <x:v>ABSOLUTE HEALTH CLINIC</x:v>
      </x:c>
      <x:c r="H113" t="str">
        <x:v>2025-09-30</x:v>
      </x:c>
      <x:c r="I113" t="str">
        <x:v>5</x:v>
      </x:c>
      <x:c r="J113" t="str">
        <x:v>2026-02-28</x:v>
      </x:c>
      <x:c r="K113"/>
      <x:c r="L113" t="str">
        <x:v>2026-02-28</x:v>
      </x:c>
      <x:c r="M113" t="str">
        <x:v>-90.0</x:v>
      </x:c>
      <x:c r="N113" t="str">
        <x:v>90.0</x:v>
      </x:c>
      <x:c r="O113" t="str">
        <x:v>เช่ายืม</x:v>
      </x:c>
      <x:c r="P113" t="str">
        <x:v>เช่ายืม</x:v>
      </x:c>
      <x:c r="Q113" t="str">
        <x:v>อยู่ระหว่างเช่ายืม / เกินกำหนดคืน 90 วัน</x:v>
      </x:c>
      <x:c r="R113"/>
      <x:c r="S113" t="str">
        <x:v>113.0</x:v>
      </x:c>
    </x:row>
    <x:row r="114">
      <x:c r="A114" t="str">
        <x:v>R0113</x:v>
      </x:c>
      <x:c r="B114" t="str">
        <x:v>39472</x:v>
      </x:c>
      <x:c r="C114" t="str">
        <x:v>39472</x:v>
      </x:c>
      <x:c r="D114" t="str">
        <x:v>B.Braun</x:v>
      </x:c>
      <x:c r="E114" t="str">
        <x:v>Spaceplus</x:v>
      </x:c>
      <x:c r="F114" t="str">
        <x:v>CES-BPL</x:v>
      </x:c>
      <x:c r="G114" t="str">
        <x:v>CES-BPL</x:v>
      </x:c>
      <x:c r="H114" t="str">
        <x:v>2025-10-02</x:v>
      </x:c>
      <x:c r="I114" t="str">
        <x:v>5</x:v>
      </x:c>
      <x:c r="J114" t="str">
        <x:v>2026-03-02</x:v>
      </x:c>
      <x:c r="K114"/>
      <x:c r="L114" t="str">
        <x:v>2026-03-02</x:v>
      </x:c>
      <x:c r="M114" t="str">
        <x:v>-88.0</x:v>
      </x:c>
      <x:c r="N114" t="str">
        <x:v>88.0</x:v>
      </x:c>
      <x:c r="O114" t="str">
        <x:v>เช่ายืม</x:v>
      </x:c>
      <x:c r="P114" t="str">
        <x:v>เช่ายืม</x:v>
      </x:c>
      <x:c r="Q114" t="str">
        <x:v>อยู่ระหว่างเช่ายืม / เกินกำหนดคืน 88 วัน</x:v>
      </x:c>
      <x:c r="R114" t="str">
        <x:v>Support site CES-BPL</x:v>
      </x:c>
      <x:c r="S114" t="str">
        <x:v>114.0</x:v>
      </x:c>
    </x:row>
    <x:row r="115">
      <x:c r="A115" t="str">
        <x:v>R0114</x:v>
      </x:c>
      <x:c r="B115" t="str">
        <x:v>39500</x:v>
      </x:c>
      <x:c r="C115" t="str">
        <x:v>39500</x:v>
      </x:c>
      <x:c r="D115" t="str">
        <x:v>B.Braun</x:v>
      </x:c>
      <x:c r="E115" t="str">
        <x:v>Spaceplus</x:v>
      </x:c>
      <x:c r="F115" t="str">
        <x:v>CES-BPL</x:v>
      </x:c>
      <x:c r="G115" t="str">
        <x:v>CES-BPL</x:v>
      </x:c>
      <x:c r="H115" t="str">
        <x:v>2025-10-02</x:v>
      </x:c>
      <x:c r="I115" t="str">
        <x:v>5</x:v>
      </x:c>
      <x:c r="J115" t="str">
        <x:v>2026-03-02</x:v>
      </x:c>
      <x:c r="K115"/>
      <x:c r="L115" t="str">
        <x:v>2026-03-02</x:v>
      </x:c>
      <x:c r="M115" t="str">
        <x:v>-88.0</x:v>
      </x:c>
      <x:c r="N115" t="str">
        <x:v>88.0</x:v>
      </x:c>
      <x:c r="O115" t="str">
        <x:v>เช่ายืม</x:v>
      </x:c>
      <x:c r="P115" t="str">
        <x:v>เช่ายืม</x:v>
      </x:c>
      <x:c r="Q115" t="str">
        <x:v>อยู่ระหว่างเช่ายืม / เกินกำหนดคืน 88 วัน</x:v>
      </x:c>
      <x:c r="R115" t="str">
        <x:v>Support site CES-BPL</x:v>
      </x:c>
      <x:c r="S115" t="str">
        <x:v>115.0</x:v>
      </x:c>
    </x:row>
    <x:row r="116">
      <x:c r="A116" t="str">
        <x:v>R0115</x:v>
      </x:c>
      <x:c r="B116" t="str">
        <x:v>39409</x:v>
      </x:c>
      <x:c r="C116" t="str">
        <x:v>39409</x:v>
      </x:c>
      <x:c r="D116" t="str">
        <x:v>B.Braun</x:v>
      </x:c>
      <x:c r="E116" t="str">
        <x:v>Spaceplus</x:v>
      </x:c>
      <x:c r="F116" t="str">
        <x:v>CES-BPL</x:v>
      </x:c>
      <x:c r="G116" t="str">
        <x:v>CES-BPL</x:v>
      </x:c>
      <x:c r="H116" t="str">
        <x:v>2025-10-02</x:v>
      </x:c>
      <x:c r="I116" t="str">
        <x:v>5</x:v>
      </x:c>
      <x:c r="J116" t="str">
        <x:v>2026-03-02</x:v>
      </x:c>
      <x:c r="K116"/>
      <x:c r="L116" t="str">
        <x:v>2026-03-02</x:v>
      </x:c>
      <x:c r="M116" t="str">
        <x:v>-88.0</x:v>
      </x:c>
      <x:c r="N116" t="str">
        <x:v>88.0</x:v>
      </x:c>
      <x:c r="O116" t="str">
        <x:v>เช่ายืม</x:v>
      </x:c>
      <x:c r="P116" t="str">
        <x:v>เช่ายืม</x:v>
      </x:c>
      <x:c r="Q116" t="str">
        <x:v>อยู่ระหว่างเช่ายืม / เกินกำหนดคืน 88 วัน</x:v>
      </x:c>
      <x:c r="R116" t="str">
        <x:v>Support site CES-BPL</x:v>
      </x:c>
      <x:c r="S116" t="str">
        <x:v>116.0</x:v>
      </x:c>
    </x:row>
    <x:row r="117">
      <x:c r="A117" t="str">
        <x:v>R0116</x:v>
      </x:c>
      <x:c r="B117" t="str">
        <x:v>39463</x:v>
      </x:c>
      <x:c r="C117" t="str">
        <x:v>39463</x:v>
      </x:c>
      <x:c r="D117" t="str">
        <x:v>B.Braun</x:v>
      </x:c>
      <x:c r="E117" t="str">
        <x:v>Spaceplus</x:v>
      </x:c>
      <x:c r="F117" t="str">
        <x:v>CES-BPL</x:v>
      </x:c>
      <x:c r="G117" t="str">
        <x:v>CES-BPL</x:v>
      </x:c>
      <x:c r="H117" t="str">
        <x:v>2025-10-02</x:v>
      </x:c>
      <x:c r="I117" t="str">
        <x:v>5</x:v>
      </x:c>
      <x:c r="J117" t="str">
        <x:v>2026-03-02</x:v>
      </x:c>
      <x:c r="K117"/>
      <x:c r="L117" t="str">
        <x:v>2026-03-02</x:v>
      </x:c>
      <x:c r="M117" t="str">
        <x:v>-88.0</x:v>
      </x:c>
      <x:c r="N117" t="str">
        <x:v>88.0</x:v>
      </x:c>
      <x:c r="O117" t="str">
        <x:v>เช่ายืม</x:v>
      </x:c>
      <x:c r="P117" t="str">
        <x:v>เช่ายืม</x:v>
      </x:c>
      <x:c r="Q117" t="str">
        <x:v>อยู่ระหว่างเช่ายืม / เกินกำหนดคืน 88 วัน</x:v>
      </x:c>
      <x:c r="R117" t="str">
        <x:v>Support site CES-BPL</x:v>
      </x:c>
      <x:c r="S117" t="str">
        <x:v>117.0</x:v>
      </x:c>
    </x:row>
    <x:row r="118">
      <x:c r="A118" t="str">
        <x:v>R0117</x:v>
      </x:c>
      <x:c r="B118" t="str">
        <x:v>31181</x:v>
      </x:c>
      <x:c r="C118" t="str">
        <x:v>31181</x:v>
      </x:c>
      <x:c r="D118" t="str">
        <x:v>B.Braun</x:v>
      </x:c>
      <x:c r="E118" t="str">
        <x:v>Spaceplus</x:v>
      </x:c>
      <x:c r="F118" t="str">
        <x:v>CES-BPL</x:v>
      </x:c>
      <x:c r="G118" t="str">
        <x:v>CES-BPL</x:v>
      </x:c>
      <x:c r="H118" t="str">
        <x:v>2025-10-02</x:v>
      </x:c>
      <x:c r="I118" t="str">
        <x:v>5</x:v>
      </x:c>
      <x:c r="J118" t="str">
        <x:v>2026-03-02</x:v>
      </x:c>
      <x:c r="K118"/>
      <x:c r="L118" t="str">
        <x:v>2026-03-02</x:v>
      </x:c>
      <x:c r="M118" t="str">
        <x:v>-88.0</x:v>
      </x:c>
      <x:c r="N118" t="str">
        <x:v>88.0</x:v>
      </x:c>
      <x:c r="O118" t="str">
        <x:v>เช่ายืม</x:v>
      </x:c>
      <x:c r="P118" t="str">
        <x:v>เช่ายืม</x:v>
      </x:c>
      <x:c r="Q118" t="str">
        <x:v>อยู่ระหว่างเช่ายืม / เกินกำหนดคืน 88 วัน</x:v>
      </x:c>
      <x:c r="R118" t="str">
        <x:v>Support site CES-BPL</x:v>
      </x:c>
      <x:c r="S118" t="str">
        <x:v>118.0</x:v>
      </x:c>
    </x:row>
    <x:row r="119">
      <x:c r="A119" t="str">
        <x:v>R0118</x:v>
      </x:c>
      <x:c r="B119" t="str">
        <x:v>31235</x:v>
      </x:c>
      <x:c r="C119" t="str">
        <x:v>31235</x:v>
      </x:c>
      <x:c r="D119" t="str">
        <x:v>B.Braun</x:v>
      </x:c>
      <x:c r="E119" t="str">
        <x:v>Spaceplus</x:v>
      </x:c>
      <x:c r="F119" t="str">
        <x:v>CES-BPL</x:v>
      </x:c>
      <x:c r="G119" t="str">
        <x:v>CES-BPL</x:v>
      </x:c>
      <x:c r="H119" t="str">
        <x:v>2025-10-02</x:v>
      </x:c>
      <x:c r="I119" t="str">
        <x:v>5</x:v>
      </x:c>
      <x:c r="J119" t="str">
        <x:v>2026-03-02</x:v>
      </x:c>
      <x:c r="K119"/>
      <x:c r="L119" t="str">
        <x:v>2026-03-02</x:v>
      </x:c>
      <x:c r="M119" t="str">
        <x:v>-88.0</x:v>
      </x:c>
      <x:c r="N119" t="str">
        <x:v>88.0</x:v>
      </x:c>
      <x:c r="O119" t="str">
        <x:v>เช่ายืม</x:v>
      </x:c>
      <x:c r="P119" t="str">
        <x:v>เช่ายืม</x:v>
      </x:c>
      <x:c r="Q119" t="str">
        <x:v>อยู่ระหว่างเช่ายืม / เกินกำหนดคืน 88 วัน</x:v>
      </x:c>
      <x:c r="R119" t="str">
        <x:v>Support site CES-BPL</x:v>
      </x:c>
      <x:c r="S119" t="str">
        <x:v>119.0</x:v>
      </x:c>
    </x:row>
    <x:row r="120">
      <x:c r="A120" t="str">
        <x:v>R0119</x:v>
      </x:c>
      <x:c r="B120" t="str">
        <x:v>39490</x:v>
      </x:c>
      <x:c r="C120" t="str">
        <x:v>39490</x:v>
      </x:c>
      <x:c r="D120" t="str">
        <x:v>B.Braun</x:v>
      </x:c>
      <x:c r="E120" t="str">
        <x:v>Spaceplus</x:v>
      </x:c>
      <x:c r="F120" t="str">
        <x:v>CES-BPL</x:v>
      </x:c>
      <x:c r="G120" t="str">
        <x:v>CES-BPL</x:v>
      </x:c>
      <x:c r="H120" t="str">
        <x:v>2025-10-02</x:v>
      </x:c>
      <x:c r="I120" t="str">
        <x:v>5</x:v>
      </x:c>
      <x:c r="J120" t="str">
        <x:v>2026-03-02</x:v>
      </x:c>
      <x:c r="K120"/>
      <x:c r="L120" t="str">
        <x:v>2026-03-02</x:v>
      </x:c>
      <x:c r="M120" t="str">
        <x:v>-88.0</x:v>
      </x:c>
      <x:c r="N120" t="str">
        <x:v>88.0</x:v>
      </x:c>
      <x:c r="O120" t="str">
        <x:v>เช่ายืม</x:v>
      </x:c>
      <x:c r="P120" t="str">
        <x:v>เช่ายืม</x:v>
      </x:c>
      <x:c r="Q120" t="str">
        <x:v>อยู่ระหว่างเช่ายืม / เกินกำหนดคืน 88 วัน</x:v>
      </x:c>
      <x:c r="R120" t="str">
        <x:v>Support site CES-BPL</x:v>
      </x:c>
      <x:c r="S120" t="str">
        <x:v>120.0</x:v>
      </x:c>
    </x:row>
    <x:row r="121">
      <x:c r="A121" t="str">
        <x:v>R0120</x:v>
      </x:c>
      <x:c r="B121" t="str">
        <x:v>39453</x:v>
      </x:c>
      <x:c r="C121" t="str">
        <x:v>39453</x:v>
      </x:c>
      <x:c r="D121" t="str">
        <x:v>B.Braun</x:v>
      </x:c>
      <x:c r="E121" t="str">
        <x:v>Spaceplus</x:v>
      </x:c>
      <x:c r="F121" t="str">
        <x:v>CES-BPL</x:v>
      </x:c>
      <x:c r="G121" t="str">
        <x:v>CES-BPL</x:v>
      </x:c>
      <x:c r="H121" t="str">
        <x:v>2025-10-02</x:v>
      </x:c>
      <x:c r="I121" t="str">
        <x:v>5</x:v>
      </x:c>
      <x:c r="J121" t="str">
        <x:v>2026-03-02</x:v>
      </x:c>
      <x:c r="K121"/>
      <x:c r="L121" t="str">
        <x:v>2026-03-02</x:v>
      </x:c>
      <x:c r="M121" t="str">
        <x:v>-88.0</x:v>
      </x:c>
      <x:c r="N121" t="str">
        <x:v>88.0</x:v>
      </x:c>
      <x:c r="O121" t="str">
        <x:v>เช่ายืม</x:v>
      </x:c>
      <x:c r="P121" t="str">
        <x:v>เช่ายืม</x:v>
      </x:c>
      <x:c r="Q121" t="str">
        <x:v>อยู่ระหว่างเช่ายืม / เกินกำหนดคืน 88 วัน</x:v>
      </x:c>
      <x:c r="R121" t="str">
        <x:v>Support site CES-BPL</x:v>
      </x:c>
      <x:c r="S121" t="str">
        <x:v>121.0</x:v>
      </x:c>
    </x:row>
    <x:row r="122">
      <x:c r="A122" t="str">
        <x:v>R0121</x:v>
      </x:c>
      <x:c r="B122" t="str">
        <x:v>53213</x:v>
      </x:c>
      <x:c r="C122" t="str">
        <x:v>53213</x:v>
      </x:c>
      <x:c r="D122" t="str">
        <x:v>B.Braun</x:v>
      </x:c>
      <x:c r="E122" t="str">
        <x:v>Spaceplus</x:v>
      </x:c>
      <x:c r="F122" t="str">
        <x:v>CES-BPL</x:v>
      </x:c>
      <x:c r="G122" t="str">
        <x:v>CES-BPL</x:v>
      </x:c>
      <x:c r="H122" t="str">
        <x:v>2025-10-02</x:v>
      </x:c>
      <x:c r="I122" t="str">
        <x:v>5</x:v>
      </x:c>
      <x:c r="J122" t="str">
        <x:v>2026-03-02</x:v>
      </x:c>
      <x:c r="K122"/>
      <x:c r="L122" t="str">
        <x:v>2026-03-02</x:v>
      </x:c>
      <x:c r="M122" t="str">
        <x:v>-88.0</x:v>
      </x:c>
      <x:c r="N122" t="str">
        <x:v>88.0</x:v>
      </x:c>
      <x:c r="O122" t="str">
        <x:v>เช่ายืม</x:v>
      </x:c>
      <x:c r="P122" t="str">
        <x:v>เช่ายืม</x:v>
      </x:c>
      <x:c r="Q122" t="str">
        <x:v>อยู่ระหว่างเช่ายืม / เกินกำหนดคืน 88 วัน</x:v>
      </x:c>
      <x:c r="R122" t="str">
        <x:v>Support site CES-BPL</x:v>
      </x:c>
      <x:c r="S122" t="str">
        <x:v>122.0</x:v>
      </x:c>
    </x:row>
    <x:row r="123">
      <x:c r="A123" t="str">
        <x:v>R0122</x:v>
      </x:c>
      <x:c r="B123" t="str">
        <x:v>52984</x:v>
      </x:c>
      <x:c r="C123" t="str">
        <x:v>52984</x:v>
      </x:c>
      <x:c r="D123" t="str">
        <x:v>B.Braun</x:v>
      </x:c>
      <x:c r="E123" t="str">
        <x:v>Spaceplus</x:v>
      </x:c>
      <x:c r="F123" t="str">
        <x:v>CES-BPL</x:v>
      </x:c>
      <x:c r="G123" t="str">
        <x:v>CES-BPL</x:v>
      </x:c>
      <x:c r="H123" t="str">
        <x:v>2025-10-02</x:v>
      </x:c>
      <x:c r="I123" t="str">
        <x:v>5</x:v>
      </x:c>
      <x:c r="J123" t="str">
        <x:v>2026-03-02</x:v>
      </x:c>
      <x:c r="K123"/>
      <x:c r="L123" t="str">
        <x:v>2026-03-02</x:v>
      </x:c>
      <x:c r="M123" t="str">
        <x:v>-88.0</x:v>
      </x:c>
      <x:c r="N123" t="str">
        <x:v>88.0</x:v>
      </x:c>
      <x:c r="O123" t="str">
        <x:v>เช่ายืม</x:v>
      </x:c>
      <x:c r="P123" t="str">
        <x:v>เช่ายืม</x:v>
      </x:c>
      <x:c r="Q123" t="str">
        <x:v>อยู่ระหว่างเช่ายืม / เกินกำหนดคืน 88 วัน</x:v>
      </x:c>
      <x:c r="R123" t="str">
        <x:v>Support site CES-BPL</x:v>
      </x:c>
      <x:c r="S123" t="str">
        <x:v>123.0</x:v>
      </x:c>
    </x:row>
    <x:row r="124">
      <x:c r="A124" t="str">
        <x:v>R0123</x:v>
      </x:c>
      <x:c r="B124" t="str">
        <x:v>52916</x:v>
      </x:c>
      <x:c r="C124" t="str">
        <x:v>52916</x:v>
      </x:c>
      <x:c r="D124" t="str">
        <x:v>B.Braun</x:v>
      </x:c>
      <x:c r="E124" t="str">
        <x:v>Spaceplus</x:v>
      </x:c>
      <x:c r="F124" t="str">
        <x:v>CES-BPL</x:v>
      </x:c>
      <x:c r="G124" t="str">
        <x:v>CES-BPL</x:v>
      </x:c>
      <x:c r="H124" t="str">
        <x:v>2025-10-02</x:v>
      </x:c>
      <x:c r="I124" t="str">
        <x:v>5</x:v>
      </x:c>
      <x:c r="J124" t="str">
        <x:v>2026-03-02</x:v>
      </x:c>
      <x:c r="K124"/>
      <x:c r="L124" t="str">
        <x:v>2026-03-02</x:v>
      </x:c>
      <x:c r="M124" t="str">
        <x:v>-88.0</x:v>
      </x:c>
      <x:c r="N124" t="str">
        <x:v>88.0</x:v>
      </x:c>
      <x:c r="O124" t="str">
        <x:v>เช่ายืม</x:v>
      </x:c>
      <x:c r="P124" t="str">
        <x:v>เช่ายืม</x:v>
      </x:c>
      <x:c r="Q124" t="str">
        <x:v>อยู่ระหว่างเช่ายืม / เกินกำหนดคืน 88 วัน</x:v>
      </x:c>
      <x:c r="R124" t="str">
        <x:v>Support site CES-BPL</x:v>
      </x:c>
      <x:c r="S124" t="str">
        <x:v>124.0</x:v>
      </x:c>
    </x:row>
    <x:row r="125">
      <x:c r="A125" t="str">
        <x:v>R0124</x:v>
      </x:c>
      <x:c r="B125" t="str">
        <x:v>52989</x:v>
      </x:c>
      <x:c r="C125" t="str">
        <x:v>52989</x:v>
      </x:c>
      <x:c r="D125" t="str">
        <x:v>B.Braun</x:v>
      </x:c>
      <x:c r="E125" t="str">
        <x:v>Spaceplus</x:v>
      </x:c>
      <x:c r="F125" t="str">
        <x:v>CES-BPL</x:v>
      </x:c>
      <x:c r="G125" t="str">
        <x:v>CES-BPL</x:v>
      </x:c>
      <x:c r="H125" t="str">
        <x:v>2025-10-02</x:v>
      </x:c>
      <x:c r="I125" t="str">
        <x:v>5</x:v>
      </x:c>
      <x:c r="J125" t="str">
        <x:v>2026-03-02</x:v>
      </x:c>
      <x:c r="K125"/>
      <x:c r="L125" t="str">
        <x:v>2026-03-02</x:v>
      </x:c>
      <x:c r="M125" t="str">
        <x:v>-88.0</x:v>
      </x:c>
      <x:c r="N125" t="str">
        <x:v>88.0</x:v>
      </x:c>
      <x:c r="O125" t="str">
        <x:v>เช่ายืม</x:v>
      </x:c>
      <x:c r="P125" t="str">
        <x:v>เช่ายืม</x:v>
      </x:c>
      <x:c r="Q125" t="str">
        <x:v>อยู่ระหว่างเช่ายืม / เกินกำหนดคืน 88 วัน</x:v>
      </x:c>
      <x:c r="R125" t="str">
        <x:v>Support site CES-BPL</x:v>
      </x:c>
      <x:c r="S125" t="str">
        <x:v>125.0</x:v>
      </x:c>
    </x:row>
    <x:row r="126">
      <x:c r="A126" t="str">
        <x:v>R0125</x:v>
      </x:c>
      <x:c r="B126" t="str">
        <x:v>39420</x:v>
      </x:c>
      <x:c r="C126" t="str">
        <x:v>39420</x:v>
      </x:c>
      <x:c r="D126" t="str">
        <x:v>B.Braun</x:v>
      </x:c>
      <x:c r="E126" t="str">
        <x:v>Spaceplus</x:v>
      </x:c>
      <x:c r="F126" t="str">
        <x:v>CES-BPL</x:v>
      </x:c>
      <x:c r="G126" t="str">
        <x:v>CES-BPL</x:v>
      </x:c>
      <x:c r="H126" t="str">
        <x:v>2025-10-02</x:v>
      </x:c>
      <x:c r="I126" t="str">
        <x:v>5</x:v>
      </x:c>
      <x:c r="J126" t="str">
        <x:v>2026-03-02</x:v>
      </x:c>
      <x:c r="K126"/>
      <x:c r="L126" t="str">
        <x:v>2026-03-02</x:v>
      </x:c>
      <x:c r="M126" t="str">
        <x:v>-88.0</x:v>
      </x:c>
      <x:c r="N126" t="str">
        <x:v>88.0</x:v>
      </x:c>
      <x:c r="O126" t="str">
        <x:v>เช่ายืม</x:v>
      </x:c>
      <x:c r="P126" t="str">
        <x:v>เช่ายืม</x:v>
      </x:c>
      <x:c r="Q126" t="str">
        <x:v>อยู่ระหว่างเช่ายืม / เกินกำหนดคืน 88 วัน</x:v>
      </x:c>
      <x:c r="R126" t="str">
        <x:v>Support site CES-BPL</x:v>
      </x:c>
      <x:c r="S126" t="str">
        <x:v>126.0</x:v>
      </x:c>
    </x:row>
    <x:row r="127">
      <x:c r="A127" t="str">
        <x:v>R0126</x:v>
      </x:c>
      <x:c r="B127" t="str">
        <x:v>39441</x:v>
      </x:c>
      <x:c r="C127" t="str">
        <x:v>39441</x:v>
      </x:c>
      <x:c r="D127" t="str">
        <x:v>B.Braun</x:v>
      </x:c>
      <x:c r="E127" t="str">
        <x:v>Spaceplus</x:v>
      </x:c>
      <x:c r="F127" t="str">
        <x:v>CES-BCM</x:v>
      </x:c>
      <x:c r="G127" t="str">
        <x:v>CES-BCM</x:v>
      </x:c>
      <x:c r="H127" t="str">
        <x:v>2025-10-02</x:v>
      </x:c>
      <x:c r="I127" t="str">
        <x:v>5</x:v>
      </x:c>
      <x:c r="J127" t="str">
        <x:v>2026-03-02</x:v>
      </x:c>
      <x:c r="K127"/>
      <x:c r="L127" t="str">
        <x:v>2026-03-02</x:v>
      </x:c>
      <x:c r="M127" t="str">
        <x:v>-88.0</x:v>
      </x:c>
      <x:c r="N127" t="str">
        <x:v>88.0</x:v>
      </x:c>
      <x:c r="O127" t="str">
        <x:v>เช่ายืม</x:v>
      </x:c>
      <x:c r="P127" t="str">
        <x:v>เช่ายืม</x:v>
      </x:c>
      <x:c r="Q127" t="str">
        <x:v>อยู่ระหว่างเช่ายืม / เกินกำหนดคืน 88 วัน</x:v>
      </x:c>
      <x:c r="R127" t="str">
        <x:v>Support site CES-BCM</x:v>
      </x:c>
      <x:c r="S127" t="str">
        <x:v>127.0</x:v>
      </x:c>
    </x:row>
    <x:row r="128">
      <x:c r="A128" t="str">
        <x:v>R0127</x:v>
      </x:c>
      <x:c r="B128" t="str">
        <x:v>39492</x:v>
      </x:c>
      <x:c r="C128" t="str">
        <x:v>39492</x:v>
      </x:c>
      <x:c r="D128" t="str">
        <x:v>B.Braun</x:v>
      </x:c>
      <x:c r="E128" t="str">
        <x:v>Spaceplus</x:v>
      </x:c>
      <x:c r="F128" t="str">
        <x:v>CES-BCM</x:v>
      </x:c>
      <x:c r="G128" t="str">
        <x:v>CES-BCM</x:v>
      </x:c>
      <x:c r="H128" t="str">
        <x:v>2025-10-02</x:v>
      </x:c>
      <x:c r="I128" t="str">
        <x:v>5</x:v>
      </x:c>
      <x:c r="J128" t="str">
        <x:v>2026-03-02</x:v>
      </x:c>
      <x:c r="K128"/>
      <x:c r="L128" t="str">
        <x:v>2026-03-02</x:v>
      </x:c>
      <x:c r="M128" t="str">
        <x:v>-88.0</x:v>
      </x:c>
      <x:c r="N128" t="str">
        <x:v>88.0</x:v>
      </x:c>
      <x:c r="O128" t="str">
        <x:v>เช่ายืม</x:v>
      </x:c>
      <x:c r="P128" t="str">
        <x:v>เช่ายืม</x:v>
      </x:c>
      <x:c r="Q128" t="str">
        <x:v>อยู่ระหว่างเช่ายืม / เกินกำหนดคืน 88 วัน</x:v>
      </x:c>
      <x:c r="R128" t="str">
        <x:v>Support site CES-BCM</x:v>
      </x:c>
      <x:c r="S128" t="str">
        <x:v>128.0</x:v>
      </x:c>
    </x:row>
    <x:row r="129">
      <x:c r="A129" t="str">
        <x:v>R0128</x:v>
      </x:c>
      <x:c r="B129" t="str">
        <x:v>39415</x:v>
      </x:c>
      <x:c r="C129" t="str">
        <x:v>39415</x:v>
      </x:c>
      <x:c r="D129" t="str">
        <x:v>B.Braun</x:v>
      </x:c>
      <x:c r="E129" t="str">
        <x:v>Spaceplus</x:v>
      </x:c>
      <x:c r="F129" t="str">
        <x:v>CES-BCM</x:v>
      </x:c>
      <x:c r="G129" t="str">
        <x:v>CES-BCM</x:v>
      </x:c>
      <x:c r="H129" t="str">
        <x:v>2025-10-02</x:v>
      </x:c>
      <x:c r="I129" t="str">
        <x:v>5</x:v>
      </x:c>
      <x:c r="J129" t="str">
        <x:v>2026-03-02</x:v>
      </x:c>
      <x:c r="K129"/>
      <x:c r="L129" t="str">
        <x:v>2026-03-02</x:v>
      </x:c>
      <x:c r="M129" t="str">
        <x:v>-88.0</x:v>
      </x:c>
      <x:c r="N129" t="str">
        <x:v>88.0</x:v>
      </x:c>
      <x:c r="O129" t="str">
        <x:v>เช่ายืม</x:v>
      </x:c>
      <x:c r="P129" t="str">
        <x:v>เช่ายืม</x:v>
      </x:c>
      <x:c r="Q129" t="str">
        <x:v>อยู่ระหว่างเช่ายืม / เกินกำหนดคืน 88 วัน</x:v>
      </x:c>
      <x:c r="R129" t="str">
        <x:v>Support site CES-BCM</x:v>
      </x:c>
      <x:c r="S129" t="str">
        <x:v>129.0</x:v>
      </x:c>
    </x:row>
    <x:row r="130">
      <x:c r="A130" t="str">
        <x:v>R0129</x:v>
      </x:c>
      <x:c r="B130" t="str">
        <x:v>31108</x:v>
      </x:c>
      <x:c r="C130" t="str">
        <x:v>31108</x:v>
      </x:c>
      <x:c r="D130" t="str">
        <x:v>B.Braun</x:v>
      </x:c>
      <x:c r="E130" t="str">
        <x:v>Spaceplus</x:v>
      </x:c>
      <x:c r="F130" t="str">
        <x:v>CES-BCM</x:v>
      </x:c>
      <x:c r="G130" t="str">
        <x:v>CES-BCM</x:v>
      </x:c>
      <x:c r="H130" t="str">
        <x:v>2025-10-02</x:v>
      </x:c>
      <x:c r="I130" t="str">
        <x:v>5</x:v>
      </x:c>
      <x:c r="J130" t="str">
        <x:v>2026-03-02</x:v>
      </x:c>
      <x:c r="K130"/>
      <x:c r="L130" t="str">
        <x:v>2026-03-02</x:v>
      </x:c>
      <x:c r="M130" t="str">
        <x:v>-88.0</x:v>
      </x:c>
      <x:c r="N130" t="str">
        <x:v>88.0</x:v>
      </x:c>
      <x:c r="O130" t="str">
        <x:v>เช่ายืม</x:v>
      </x:c>
      <x:c r="P130" t="str">
        <x:v>เช่ายืม</x:v>
      </x:c>
      <x:c r="Q130" t="str">
        <x:v>อยู่ระหว่างเช่ายืม / เกินกำหนดคืน 88 วัน</x:v>
      </x:c>
      <x:c r="R130" t="str">
        <x:v>Support site CES-BCM</x:v>
      </x:c>
      <x:c r="S130" t="str">
        <x:v>130.0</x:v>
      </x:c>
    </x:row>
    <x:row r="131">
      <x:c r="A131" t="str">
        <x:v>R0130</x:v>
      </x:c>
      <x:c r="B131" t="str">
        <x:v>39471</x:v>
      </x:c>
      <x:c r="C131" t="str">
        <x:v>39471</x:v>
      </x:c>
      <x:c r="D131" t="str">
        <x:v>B.Braun</x:v>
      </x:c>
      <x:c r="E131" t="str">
        <x:v>Spaceplus</x:v>
      </x:c>
      <x:c r="F131" t="str">
        <x:v>CES-BCM</x:v>
      </x:c>
      <x:c r="G131" t="str">
        <x:v>CES-BCM</x:v>
      </x:c>
      <x:c r="H131" t="str">
        <x:v>2025-10-02</x:v>
      </x:c>
      <x:c r="I131" t="str">
        <x:v>5</x:v>
      </x:c>
      <x:c r="J131" t="str">
        <x:v>2026-03-02</x:v>
      </x:c>
      <x:c r="K131"/>
      <x:c r="L131" t="str">
        <x:v>2026-03-02</x:v>
      </x:c>
      <x:c r="M131" t="str">
        <x:v>-88.0</x:v>
      </x:c>
      <x:c r="N131" t="str">
        <x:v>88.0</x:v>
      </x:c>
      <x:c r="O131" t="str">
        <x:v>เช่ายืม</x:v>
      </x:c>
      <x:c r="P131" t="str">
        <x:v>เช่ายืม</x:v>
      </x:c>
      <x:c r="Q131" t="str">
        <x:v>อยู่ระหว่างเช่ายืม / เกินกำหนดคืน 88 วัน</x:v>
      </x:c>
      <x:c r="R131" t="str">
        <x:v>Support site CES-BCM</x:v>
      </x:c>
      <x:c r="S131" t="str">
        <x:v>131.0</x:v>
      </x:c>
    </x:row>
    <x:row r="132">
      <x:c r="A132" t="str">
        <x:v>R0131</x:v>
      </x:c>
      <x:c r="B132" t="str">
        <x:v>31219</x:v>
      </x:c>
      <x:c r="C132" t="str">
        <x:v>31219</x:v>
      </x:c>
      <x:c r="D132" t="str">
        <x:v>B.Braun</x:v>
      </x:c>
      <x:c r="E132" t="str">
        <x:v>Spaceplus</x:v>
      </x:c>
      <x:c r="F132" t="str">
        <x:v>CES-BCM</x:v>
      </x:c>
      <x:c r="G132" t="str">
        <x:v>CES-BCM</x:v>
      </x:c>
      <x:c r="H132" t="str">
        <x:v>2025-10-02</x:v>
      </x:c>
      <x:c r="I132" t="str">
        <x:v>5</x:v>
      </x:c>
      <x:c r="J132" t="str">
        <x:v>2026-03-02</x:v>
      </x:c>
      <x:c r="K132"/>
      <x:c r="L132" t="str">
        <x:v>2026-03-02</x:v>
      </x:c>
      <x:c r="M132" t="str">
        <x:v>-88.0</x:v>
      </x:c>
      <x:c r="N132" t="str">
        <x:v>88.0</x:v>
      </x:c>
      <x:c r="O132" t="str">
        <x:v>เช่ายืม</x:v>
      </x:c>
      <x:c r="P132" t="str">
        <x:v>เช่ายืม</x:v>
      </x:c>
      <x:c r="Q132" t="str">
        <x:v>อยู่ระหว่างเช่ายืม / เกินกำหนดคืน 88 วัน</x:v>
      </x:c>
      <x:c r="R132" t="str">
        <x:v>Support site CES-BCM</x:v>
      </x:c>
      <x:c r="S132" t="str">
        <x:v>132.0</x:v>
      </x:c>
    </x:row>
    <x:row r="133">
      <x:c r="A133" t="str">
        <x:v>R0132</x:v>
      </x:c>
      <x:c r="B133" t="str">
        <x:v>15157</x:v>
      </x:c>
      <x:c r="C133" t="str">
        <x:v>15157</x:v>
      </x:c>
      <x:c r="D133" t="str">
        <x:v>B.Braun</x:v>
      </x:c>
      <x:c r="E133" t="str">
        <x:v>Spaceplus</x:v>
      </x:c>
      <x:c r="F133" t="str">
        <x:v>CES-BCM</x:v>
      </x:c>
      <x:c r="G133" t="str">
        <x:v>CES-BCM</x:v>
      </x:c>
      <x:c r="H133" t="str">
        <x:v>2025-10-02</x:v>
      </x:c>
      <x:c r="I133" t="str">
        <x:v>5</x:v>
      </x:c>
      <x:c r="J133" t="str">
        <x:v>2026-03-02</x:v>
      </x:c>
      <x:c r="K133"/>
      <x:c r="L133" t="str">
        <x:v>2026-03-02</x:v>
      </x:c>
      <x:c r="M133" t="str">
        <x:v>-88.0</x:v>
      </x:c>
      <x:c r="N133" t="str">
        <x:v>88.0</x:v>
      </x:c>
      <x:c r="O133" t="str">
        <x:v>เช่ายืม</x:v>
      </x:c>
      <x:c r="P133" t="str">
        <x:v>เช่ายืม</x:v>
      </x:c>
      <x:c r="Q133" t="str">
        <x:v>อยู่ระหว่างเช่ายืม / เกินกำหนดคืน 88 วัน</x:v>
      </x:c>
      <x:c r="R133" t="str">
        <x:v>Support site CES-BCM</x:v>
      </x:c>
      <x:c r="S133" t="str">
        <x:v>133.0</x:v>
      </x:c>
    </x:row>
    <x:row r="134">
      <x:c r="A134" t="str">
        <x:v>R0133</x:v>
      </x:c>
      <x:c r="B134" t="str">
        <x:v>52988</x:v>
      </x:c>
      <x:c r="C134" t="str">
        <x:v>52988</x:v>
      </x:c>
      <x:c r="D134" t="str">
        <x:v>B.Braun</x:v>
      </x:c>
      <x:c r="E134" t="str">
        <x:v>Spaceplus</x:v>
      </x:c>
      <x:c r="F134" t="str">
        <x:v>CES-BCM</x:v>
      </x:c>
      <x:c r="G134" t="str">
        <x:v>CES-BCM</x:v>
      </x:c>
      <x:c r="H134" t="str">
        <x:v>2025-10-02</x:v>
      </x:c>
      <x:c r="I134" t="str">
        <x:v>5</x:v>
      </x:c>
      <x:c r="J134" t="str">
        <x:v>2026-03-02</x:v>
      </x:c>
      <x:c r="K134"/>
      <x:c r="L134" t="str">
        <x:v>2026-03-02</x:v>
      </x:c>
      <x:c r="M134" t="str">
        <x:v>-88.0</x:v>
      </x:c>
      <x:c r="N134" t="str">
        <x:v>88.0</x:v>
      </x:c>
      <x:c r="O134" t="str">
        <x:v>เช่ายืม</x:v>
      </x:c>
      <x:c r="P134" t="str">
        <x:v>เช่ายืม</x:v>
      </x:c>
      <x:c r="Q134" t="str">
        <x:v>อยู่ระหว่างเช่ายืม / เกินกำหนดคืน 88 วัน</x:v>
      </x:c>
      <x:c r="R134" t="str">
        <x:v>Support site CES-BCM</x:v>
      </x:c>
      <x:c r="S134" t="str">
        <x:v>134.0</x:v>
      </x:c>
    </x:row>
    <x:row r="135">
      <x:c r="A135" t="str">
        <x:v>R0134</x:v>
      </x:c>
      <x:c r="B135" t="str">
        <x:v>52897</x:v>
      </x:c>
      <x:c r="C135" t="str">
        <x:v>52897</x:v>
      </x:c>
      <x:c r="D135" t="str">
        <x:v>B.Braun</x:v>
      </x:c>
      <x:c r="E135" t="str">
        <x:v>Spaceplus</x:v>
      </x:c>
      <x:c r="F135" t="str">
        <x:v>CES-BCM</x:v>
      </x:c>
      <x:c r="G135" t="str">
        <x:v>CES-BCM</x:v>
      </x:c>
      <x:c r="H135" t="str">
        <x:v>2025-10-02</x:v>
      </x:c>
      <x:c r="I135" t="str">
        <x:v>5</x:v>
      </x:c>
      <x:c r="J135" t="str">
        <x:v>2026-03-02</x:v>
      </x:c>
      <x:c r="K135"/>
      <x:c r="L135" t="str">
        <x:v>2026-03-02</x:v>
      </x:c>
      <x:c r="M135" t="str">
        <x:v>-88.0</x:v>
      </x:c>
      <x:c r="N135" t="str">
        <x:v>88.0</x:v>
      </x:c>
      <x:c r="O135" t="str">
        <x:v>เช่ายืม</x:v>
      </x:c>
      <x:c r="P135" t="str">
        <x:v>เช่ายืม</x:v>
      </x:c>
      <x:c r="Q135" t="str">
        <x:v>อยู่ระหว่างเช่ายืม / เกินกำหนดคืน 88 วัน</x:v>
      </x:c>
      <x:c r="R135" t="str">
        <x:v>Support site CES-BCM</x:v>
      </x:c>
      <x:c r="S135" t="str">
        <x:v>135.0</x:v>
      </x:c>
    </x:row>
    <x:row r="136">
      <x:c r="A136" t="str">
        <x:v>R0135</x:v>
      </x:c>
      <x:c r="B136" t="str">
        <x:v>52978</x:v>
      </x:c>
      <x:c r="C136" t="str">
        <x:v>52978</x:v>
      </x:c>
      <x:c r="D136" t="str">
        <x:v>B.Braun</x:v>
      </x:c>
      <x:c r="E136" t="str">
        <x:v>Spaceplus</x:v>
      </x:c>
      <x:c r="F136" t="str">
        <x:v>CES-BCM</x:v>
      </x:c>
      <x:c r="G136" t="str">
        <x:v>CES-BCM</x:v>
      </x:c>
      <x:c r="H136" t="str">
        <x:v>2025-10-02</x:v>
      </x:c>
      <x:c r="I136" t="str">
        <x:v>5</x:v>
      </x:c>
      <x:c r="J136" t="str">
        <x:v>2026-03-02</x:v>
      </x:c>
      <x:c r="K136"/>
      <x:c r="L136" t="str">
        <x:v>2026-03-02</x:v>
      </x:c>
      <x:c r="M136" t="str">
        <x:v>-88.0</x:v>
      </x:c>
      <x:c r="N136" t="str">
        <x:v>88.0</x:v>
      </x:c>
      <x:c r="O136" t="str">
        <x:v>เช่ายืม</x:v>
      </x:c>
      <x:c r="P136" t="str">
        <x:v>เช่ายืม</x:v>
      </x:c>
      <x:c r="Q136" t="str">
        <x:v>อยู่ระหว่างเช่ายืม / เกินกำหนดคืน 88 วัน</x:v>
      </x:c>
      <x:c r="R136" t="str">
        <x:v>Support site CES-BCM</x:v>
      </x:c>
      <x:c r="S136" t="str">
        <x:v>136.0</x:v>
      </x:c>
    </x:row>
    <x:row r="137">
      <x:c r="A137" t="str">
        <x:v>R0136</x:v>
      </x:c>
      <x:c r="B137" t="str">
        <x:v>52927</x:v>
      </x:c>
      <x:c r="C137" t="str">
        <x:v>52927</x:v>
      </x:c>
      <x:c r="D137" t="str">
        <x:v>B.Braun</x:v>
      </x:c>
      <x:c r="E137" t="str">
        <x:v>Spaceplus</x:v>
      </x:c>
      <x:c r="F137" t="str">
        <x:v>CES-BCM</x:v>
      </x:c>
      <x:c r="G137" t="str">
        <x:v>CES-BCM</x:v>
      </x:c>
      <x:c r="H137" t="str">
        <x:v>2025-10-02</x:v>
      </x:c>
      <x:c r="I137" t="str">
        <x:v>5</x:v>
      </x:c>
      <x:c r="J137" t="str">
        <x:v>2026-03-02</x:v>
      </x:c>
      <x:c r="K137"/>
      <x:c r="L137" t="str">
        <x:v>2026-03-02</x:v>
      </x:c>
      <x:c r="M137" t="str">
        <x:v>-88.0</x:v>
      </x:c>
      <x:c r="N137" t="str">
        <x:v>88.0</x:v>
      </x:c>
      <x:c r="O137" t="str">
        <x:v>เช่ายืม</x:v>
      </x:c>
      <x:c r="P137" t="str">
        <x:v>เช่ายืม</x:v>
      </x:c>
      <x:c r="Q137" t="str">
        <x:v>อยู่ระหว่างเช่ายืม / เกินกำหนดคืน 88 วัน</x:v>
      </x:c>
      <x:c r="R137" t="str">
        <x:v>Support site CES-BCM</x:v>
      </x:c>
      <x:c r="S137" t="str">
        <x:v>137.0</x:v>
      </x:c>
    </x:row>
    <x:row r="138">
      <x:c r="A138" t="str">
        <x:v>R0137</x:v>
      </x:c>
      <x:c r="B138" t="str">
        <x:v>53023</x:v>
      </x:c>
      <x:c r="C138" t="str">
        <x:v>53023</x:v>
      </x:c>
      <x:c r="D138" t="str">
        <x:v>B.Braun</x:v>
      </x:c>
      <x:c r="E138" t="str">
        <x:v>Spaceplus</x:v>
      </x:c>
      <x:c r="F138" t="str">
        <x:v>CES-BCM</x:v>
      </x:c>
      <x:c r="G138" t="str">
        <x:v>CES-BCM</x:v>
      </x:c>
      <x:c r="H138" t="str">
        <x:v>2025-10-02</x:v>
      </x:c>
      <x:c r="I138" t="str">
        <x:v>5</x:v>
      </x:c>
      <x:c r="J138" t="str">
        <x:v>2026-03-02</x:v>
      </x:c>
      <x:c r="K138"/>
      <x:c r="L138" t="str">
        <x:v>2026-03-02</x:v>
      </x:c>
      <x:c r="M138" t="str">
        <x:v>-88.0</x:v>
      </x:c>
      <x:c r="N138" t="str">
        <x:v>88.0</x:v>
      </x:c>
      <x:c r="O138" t="str">
        <x:v>เช่ายืม</x:v>
      </x:c>
      <x:c r="P138" t="str">
        <x:v>เช่ายืม</x:v>
      </x:c>
      <x:c r="Q138" t="str">
        <x:v>อยู่ระหว่างเช่ายืม / เกินกำหนดคืน 88 วัน</x:v>
      </x:c>
      <x:c r="R138" t="str">
        <x:v>Support site CES-BCM</x:v>
      </x:c>
      <x:c r="S138" t="str">
        <x:v>138.0</x:v>
      </x:c>
    </x:row>
    <x:row r="139">
      <x:c r="A139" t="str">
        <x:v>R0138</x:v>
      </x:c>
      <x:c r="B139" t="str">
        <x:v>49889</x:v>
      </x:c>
      <x:c r="C139" t="str">
        <x:v>49889</x:v>
      </x:c>
      <x:c r="D139" t="str">
        <x:v>B.Braun</x:v>
      </x:c>
      <x:c r="E139" t="str">
        <x:v>Spaceplus</x:v>
      </x:c>
      <x:c r="F139" t="str">
        <x:v>CES-BCM</x:v>
      </x:c>
      <x:c r="G139" t="str">
        <x:v>CES-BCM</x:v>
      </x:c>
      <x:c r="H139" t="str">
        <x:v>2025-10-02</x:v>
      </x:c>
      <x:c r="I139" t="str">
        <x:v>5</x:v>
      </x:c>
      <x:c r="J139" t="str">
        <x:v>2026-03-02</x:v>
      </x:c>
      <x:c r="K139"/>
      <x:c r="L139" t="str">
        <x:v>2026-03-02</x:v>
      </x:c>
      <x:c r="M139" t="str">
        <x:v>-88.0</x:v>
      </x:c>
      <x:c r="N139" t="str">
        <x:v>88.0</x:v>
      </x:c>
      <x:c r="O139" t="str">
        <x:v>เช่ายืม</x:v>
      </x:c>
      <x:c r="P139" t="str">
        <x:v>เช่ายืม</x:v>
      </x:c>
      <x:c r="Q139" t="str">
        <x:v>อยู่ระหว่างเช่ายืม / เกินกำหนดคืน 88 วัน</x:v>
      </x:c>
      <x:c r="R139" t="str">
        <x:v>Support site CES-BCM</x:v>
      </x:c>
      <x:c r="S139" t="str">
        <x:v>139.0</x:v>
      </x:c>
    </x:row>
    <x:row r="140">
      <x:c r="A140" t="str">
        <x:v>R0139</x:v>
      </x:c>
      <x:c r="B140" t="str">
        <x:v>53017</x:v>
      </x:c>
      <x:c r="C140" t="str">
        <x:v>53017</x:v>
      </x:c>
      <x:c r="D140" t="str">
        <x:v>B.Braun</x:v>
      </x:c>
      <x:c r="E140" t="str">
        <x:v>Spaceplus</x:v>
      </x:c>
      <x:c r="F140" t="str">
        <x:v>CES-BCM</x:v>
      </x:c>
      <x:c r="G140" t="str">
        <x:v>CES-BCM</x:v>
      </x:c>
      <x:c r="H140" t="str">
        <x:v>2025-10-02</x:v>
      </x:c>
      <x:c r="I140" t="str">
        <x:v>5</x:v>
      </x:c>
      <x:c r="J140" t="str">
        <x:v>2026-03-02</x:v>
      </x:c>
      <x:c r="K140"/>
      <x:c r="L140" t="str">
        <x:v>2026-03-02</x:v>
      </x:c>
      <x:c r="M140" t="str">
        <x:v>-88.0</x:v>
      </x:c>
      <x:c r="N140" t="str">
        <x:v>88.0</x:v>
      </x:c>
      <x:c r="O140" t="str">
        <x:v>เช่ายืม</x:v>
      </x:c>
      <x:c r="P140" t="str">
        <x:v>เช่ายืม</x:v>
      </x:c>
      <x:c r="Q140" t="str">
        <x:v>อยู่ระหว่างเช่ายืม / เกินกำหนดคืน 88 วัน</x:v>
      </x:c>
      <x:c r="R140" t="str">
        <x:v>Support site CES-BCM</x:v>
      </x:c>
      <x:c r="S140" t="str">
        <x:v>140.0</x:v>
      </x:c>
    </x:row>
    <x:row r="141">
      <x:c r="A141" t="str">
        <x:v>R0140</x:v>
      </x:c>
      <x:c r="B141" t="str">
        <x:v>53060</x:v>
      </x:c>
      <x:c r="C141" t="str">
        <x:v>53060</x:v>
      </x:c>
      <x:c r="D141" t="str">
        <x:v>B.Braun</x:v>
      </x:c>
      <x:c r="E141" t="str">
        <x:v>Spaceplus</x:v>
      </x:c>
      <x:c r="F141" t="str">
        <x:v>CES-BCM</x:v>
      </x:c>
      <x:c r="G141" t="str">
        <x:v>CES-BCM</x:v>
      </x:c>
      <x:c r="H141" t="str">
        <x:v>2025-10-02</x:v>
      </x:c>
      <x:c r="I141" t="str">
        <x:v>5</x:v>
      </x:c>
      <x:c r="J141" t="str">
        <x:v>2026-03-02</x:v>
      </x:c>
      <x:c r="K141"/>
      <x:c r="L141" t="str">
        <x:v>2026-03-02</x:v>
      </x:c>
      <x:c r="M141" t="str">
        <x:v>-88.0</x:v>
      </x:c>
      <x:c r="N141" t="str">
        <x:v>88.0</x:v>
      </x:c>
      <x:c r="O141" t="str">
        <x:v>เช่ายืม</x:v>
      </x:c>
      <x:c r="P141" t="str">
        <x:v>เช่ายืม</x:v>
      </x:c>
      <x:c r="Q141" t="str">
        <x:v>อยู่ระหว่างเช่ายืม / เกินกำหนดคืน 88 วัน</x:v>
      </x:c>
      <x:c r="R141" t="str">
        <x:v>Support site CES-BCM</x:v>
      </x:c>
      <x:c r="S141" t="str">
        <x:v>141.0</x:v>
      </x:c>
    </x:row>
    <x:row r="142">
      <x:c r="A142" t="str">
        <x:v>R0141</x:v>
      </x:c>
      <x:c r="B142" t="str">
        <x:v>52959</x:v>
      </x:c>
      <x:c r="C142" t="str">
        <x:v>52959</x:v>
      </x:c>
      <x:c r="D142" t="str">
        <x:v>B.Braun</x:v>
      </x:c>
      <x:c r="E142" t="str">
        <x:v>Spaceplus</x:v>
      </x:c>
      <x:c r="F142" t="str">
        <x:v>CES-BCM</x:v>
      </x:c>
      <x:c r="G142" t="str">
        <x:v>CES-BCM</x:v>
      </x:c>
      <x:c r="H142" t="str">
        <x:v>2025-10-02</x:v>
      </x:c>
      <x:c r="I142" t="str">
        <x:v>5</x:v>
      </x:c>
      <x:c r="J142" t="str">
        <x:v>2026-03-02</x:v>
      </x:c>
      <x:c r="K142"/>
      <x:c r="L142" t="str">
        <x:v>2026-03-02</x:v>
      </x:c>
      <x:c r="M142" t="str">
        <x:v>-88.0</x:v>
      </x:c>
      <x:c r="N142" t="str">
        <x:v>88.0</x:v>
      </x:c>
      <x:c r="O142" t="str">
        <x:v>เช่ายืม</x:v>
      </x:c>
      <x:c r="P142" t="str">
        <x:v>เช่ายืม</x:v>
      </x:c>
      <x:c r="Q142" t="str">
        <x:v>อยู่ระหว่างเช่ายืม / เกินกำหนดคืน 88 วัน</x:v>
      </x:c>
      <x:c r="R142" t="str">
        <x:v>Support site CES-BCM</x:v>
      </x:c>
      <x:c r="S142" t="str">
        <x:v>142.0</x:v>
      </x:c>
    </x:row>
    <x:row r="143">
      <x:c r="A143" t="str">
        <x:v>R0142</x:v>
      </x:c>
      <x:c r="B143" t="str">
        <x:v>39416</x:v>
      </x:c>
      <x:c r="C143" t="str">
        <x:v>39416</x:v>
      </x:c>
      <x:c r="D143" t="str">
        <x:v>B.Braun</x:v>
      </x:c>
      <x:c r="E143" t="str">
        <x:v>Spaceplus</x:v>
      </x:c>
      <x:c r="F143" t="str">
        <x:v>CES-BCM</x:v>
      </x:c>
      <x:c r="G143" t="str">
        <x:v>CES-BCM</x:v>
      </x:c>
      <x:c r="H143" t="str">
        <x:v>2025-10-02</x:v>
      </x:c>
      <x:c r="I143" t="str">
        <x:v>5</x:v>
      </x:c>
      <x:c r="J143" t="str">
        <x:v>2026-03-02</x:v>
      </x:c>
      <x:c r="K143"/>
      <x:c r="L143" t="str">
        <x:v>2026-03-02</x:v>
      </x:c>
      <x:c r="M143" t="str">
        <x:v>-88.0</x:v>
      </x:c>
      <x:c r="N143" t="str">
        <x:v>88.0</x:v>
      </x:c>
      <x:c r="O143" t="str">
        <x:v>เช่ายืม</x:v>
      </x:c>
      <x:c r="P143" t="str">
        <x:v>เช่ายืม</x:v>
      </x:c>
      <x:c r="Q143" t="str">
        <x:v>อยู่ระหว่างเช่ายืม / เกินกำหนดคืน 88 วัน</x:v>
      </x:c>
      <x:c r="R143" t="str">
        <x:v>Support site CES-BCM</x:v>
      </x:c>
      <x:c r="S143" t="str">
        <x:v>143.0</x:v>
      </x:c>
    </x:row>
    <x:row r="144">
      <x:c r="A144" t="str">
        <x:v>R0143</x:v>
      </x:c>
      <x:c r="B144" t="str">
        <x:v>31229</x:v>
      </x:c>
      <x:c r="C144" t="str">
        <x:v>31229</x:v>
      </x:c>
      <x:c r="D144" t="str">
        <x:v>B.Braun</x:v>
      </x:c>
      <x:c r="E144" t="str">
        <x:v>Spaceplus</x:v>
      </x:c>
      <x:c r="F144" t="str">
        <x:v>CES-BCM</x:v>
      </x:c>
      <x:c r="G144" t="str">
        <x:v>CES-BCM</x:v>
      </x:c>
      <x:c r="H144" t="str">
        <x:v>2025-10-02</x:v>
      </x:c>
      <x:c r="I144" t="str">
        <x:v>5</x:v>
      </x:c>
      <x:c r="J144" t="str">
        <x:v>2026-03-02</x:v>
      </x:c>
      <x:c r="K144"/>
      <x:c r="L144" t="str">
        <x:v>2026-03-02</x:v>
      </x:c>
      <x:c r="M144" t="str">
        <x:v>-88.0</x:v>
      </x:c>
      <x:c r="N144" t="str">
        <x:v>88.0</x:v>
      </x:c>
      <x:c r="O144" t="str">
        <x:v>เช่ายืม</x:v>
      </x:c>
      <x:c r="P144" t="str">
        <x:v>เช่ายืม</x:v>
      </x:c>
      <x:c r="Q144" t="str">
        <x:v>อยู่ระหว่างเช่ายืม / เกินกำหนดคืน 88 วัน</x:v>
      </x:c>
      <x:c r="R144" t="str">
        <x:v>Support site CES-BCM</x:v>
      </x:c>
      <x:c r="S144" t="str">
        <x:v>144.0</x:v>
      </x:c>
    </x:row>
    <x:row r="145">
      <x:c r="A145" t="str">
        <x:v>R0144</x:v>
      </x:c>
      <x:c r="B145" t="str">
        <x:v>335993</x:v>
      </x:c>
      <x:c r="C145" t="str">
        <x:v>335993</x:v>
      </x:c>
      <x:c r="D145" t="str">
        <x:v>B.Braun</x:v>
      </x:c>
      <x:c r="E145" t="str">
        <x:v>Infusomat Space</x:v>
      </x:c>
      <x:c r="F145" t="str">
        <x:v>โรงพยาบาลเปาโล พระประแดง</x:v>
      </x:c>
      <x:c r="G145" t="str">
        <x:v>โรงพยาบาลเปาโล พระประแดง</x:v>
      </x:c>
      <x:c r="H145" t="str">
        <x:v>2025-10-14</x:v>
      </x:c>
      <x:c r="I145" t="str">
        <x:v>3</x:v>
      </x:c>
      <x:c r="J145" t="str">
        <x:v>2026-01-14</x:v>
      </x:c>
      <x:c r="K145"/>
      <x:c r="L145" t="str">
        <x:v>2026-01-14</x:v>
      </x:c>
      <x:c r="M145" t="str">
        <x:v>-135.0</x:v>
      </x:c>
      <x:c r="N145" t="str">
        <x:v>135.0</x:v>
      </x:c>
      <x:c r="O145" t="str">
        <x:v>เช่ายืม</x:v>
      </x:c>
      <x:c r="P145" t="str">
        <x:v>เช่ายืม</x:v>
      </x:c>
      <x:c r="Q145" t="str">
        <x:v>อยู่ระหว่างเช่ายืม / เกินกำหนดคืน 135 วัน</x:v>
      </x:c>
      <x:c r="R145" t="str">
        <x:v>ยืมเครื้่อง</x:v>
      </x:c>
      <x:c r="S145" t="str">
        <x:v>145.0</x:v>
      </x:c>
    </x:row>
    <x:row r="146">
      <x:c r="A146" t="str">
        <x:v>R0145</x:v>
      </x:c>
      <x:c r="B146" t="str">
        <x:v>292341</x:v>
      </x:c>
      <x:c r="C146" t="str">
        <x:v>292341</x:v>
      </x:c>
      <x:c r="D146" t="str">
        <x:v>B.Braun</x:v>
      </x:c>
      <x:c r="E146" t="str">
        <x:v>Infusomat Space</x:v>
      </x:c>
      <x:c r="F146" t="str">
        <x:v>โรงพยาบาลเปาโล พระประแดง</x:v>
      </x:c>
      <x:c r="G146" t="str">
        <x:v>โรงพยาบาลเปาโล พระประแดง</x:v>
      </x:c>
      <x:c r="H146" t="str">
        <x:v>2025-10-14</x:v>
      </x:c>
      <x:c r="I146" t="str">
        <x:v>3</x:v>
      </x:c>
      <x:c r="J146" t="str">
        <x:v>2026-01-14</x:v>
      </x:c>
      <x:c r="K146"/>
      <x:c r="L146" t="str">
        <x:v>2026-01-14</x:v>
      </x:c>
      <x:c r="M146" t="str">
        <x:v>-135.0</x:v>
      </x:c>
      <x:c r="N146" t="str">
        <x:v>135.0</x:v>
      </x:c>
      <x:c r="O146" t="str">
        <x:v>เช่ายืม</x:v>
      </x:c>
      <x:c r="P146" t="str">
        <x:v>เช่ายืม</x:v>
      </x:c>
      <x:c r="Q146" t="str">
        <x:v>อยู่ระหว่างเช่ายืม / เกินกำหนดคืน 135 วัน</x:v>
      </x:c>
      <x:c r="R146" t="str">
        <x:v>ยืมเครื้่อง</x:v>
      </x:c>
      <x:c r="S146" t="str">
        <x:v>146.0</x:v>
      </x:c>
    </x:row>
    <x:row r="147">
      <x:c r="A147" t="str">
        <x:v>R0145</x:v>
      </x:c>
      <x:c r="B147" t="str">
        <x:v>584387</x:v>
      </x:c>
      <x:c r="C147" t="str">
        <x:v>584387</x:v>
      </x:c>
      <x:c r="D147" t="str">
        <x:v>B.Braun</x:v>
      </x:c>
      <x:c r="E147" t="str">
        <x:v>Infusomat Space</x:v>
      </x:c>
      <x:c r="F147" t="str">
        <x:v>BME-BHP</x:v>
      </x:c>
      <x:c r="G147" t="str">
        <x:v>BHP</x:v>
      </x:c>
      <x:c r="H147" t="str">
        <x:v>2025-10-30</x:v>
      </x:c>
      <x:c r="I147" t="str">
        <x:v>5</x:v>
      </x:c>
      <x:c r="J147" t="str">
        <x:v>2026-03-30</x:v>
      </x:c>
      <x:c r="K147"/>
      <x:c r="L147" t="str">
        <x:v>2026-03-30</x:v>
      </x:c>
      <x:c r="M147" t="str">
        <x:v>-60.0</x:v>
      </x:c>
      <x:c r="N147" t="str">
        <x:v>60.0</x:v>
      </x:c>
      <x:c r="O147" t="str">
        <x:v>เช่ายืม</x:v>
      </x:c>
      <x:c r="P147" t="str">
        <x:v>เช่ายืม</x:v>
      </x:c>
      <x:c r="Q147" t="str">
        <x:v>อยู่ระหว่างเช่ายืม / เกินกำหนดคืน 60 วัน</x:v>
      </x:c>
      <x:c r="R147"/>
      <x:c r="S147" t="str">
        <x:v>147.0</x:v>
      </x:c>
    </x:row>
    <x:row r="148">
      <x:c r="A148" t="str">
        <x:v>R0145</x:v>
      </x:c>
      <x:c r="B148" t="str">
        <x:v>583992</x:v>
      </x:c>
      <x:c r="C148" t="str">
        <x:v>583992</x:v>
      </x:c>
      <x:c r="D148" t="str">
        <x:v>B.Braun</x:v>
      </x:c>
      <x:c r="E148" t="str">
        <x:v>Infusomat Space</x:v>
      </x:c>
      <x:c r="F148" t="str">
        <x:v>BME-BHP</x:v>
      </x:c>
      <x:c r="G148" t="str">
        <x:v>BHP</x:v>
      </x:c>
      <x:c r="H148" t="str">
        <x:v>2025-10-30</x:v>
      </x:c>
      <x:c r="I148" t="str">
        <x:v>5</x:v>
      </x:c>
      <x:c r="J148" t="str">
        <x:v>2026-03-30</x:v>
      </x:c>
      <x:c r="K148"/>
      <x:c r="L148" t="str">
        <x:v>2026-03-30</x:v>
      </x:c>
      <x:c r="M148" t="str">
        <x:v>-60.0</x:v>
      </x:c>
      <x:c r="N148" t="str">
        <x:v>60.0</x:v>
      </x:c>
      <x:c r="O148" t="str">
        <x:v>เช่ายืม</x:v>
      </x:c>
      <x:c r="P148" t="str">
        <x:v>เช่ายืม</x:v>
      </x:c>
      <x:c r="Q148" t="str">
        <x:v>อยู่ระหว่างเช่ายืม / เกินกำหนดคืน 60 วัน</x:v>
      </x:c>
      <x:c r="R148"/>
      <x:c r="S148" t="str">
        <x:v>148.0</x:v>
      </x:c>
    </x:row>
    <x:row r="149">
      <x:c r="A149" t="str">
        <x:v>R0145</x:v>
      </x:c>
      <x:c r="B149" t="str">
        <x:v>584394</x:v>
      </x:c>
      <x:c r="C149" t="str">
        <x:v>584394</x:v>
      </x:c>
      <x:c r="D149" t="str">
        <x:v>B.Braun</x:v>
      </x:c>
      <x:c r="E149" t="str">
        <x:v>Infusomat Space</x:v>
      </x:c>
      <x:c r="F149" t="str">
        <x:v>BME-BHP</x:v>
      </x:c>
      <x:c r="G149" t="str">
        <x:v>BHP</x:v>
      </x:c>
      <x:c r="H149" t="str">
        <x:v>2025-10-30</x:v>
      </x:c>
      <x:c r="I149" t="str">
        <x:v>5</x:v>
      </x:c>
      <x:c r="J149" t="str">
        <x:v>2026-03-30</x:v>
      </x:c>
      <x:c r="K149"/>
      <x:c r="L149" t="str">
        <x:v>2026-03-30</x:v>
      </x:c>
      <x:c r="M149" t="str">
        <x:v>-60.0</x:v>
      </x:c>
      <x:c r="N149" t="str">
        <x:v>60.0</x:v>
      </x:c>
      <x:c r="O149" t="str">
        <x:v>เช่ายืม</x:v>
      </x:c>
      <x:c r="P149" t="str">
        <x:v>เช่ายืม</x:v>
      </x:c>
      <x:c r="Q149" t="str">
        <x:v>อยู่ระหว่างเช่ายืม / เกินกำหนดคืน 60 วัน</x:v>
      </x:c>
      <x:c r="R149"/>
      <x:c r="S149" t="str">
        <x:v>149.0</x:v>
      </x:c>
    </x:row>
    <x:row r="150">
      <x:c r="A150" t="str">
        <x:v>R0145</x:v>
      </x:c>
      <x:c r="B150" t="str">
        <x:v>584010</x:v>
      </x:c>
      <x:c r="C150" t="str">
        <x:v>584010</x:v>
      </x:c>
      <x:c r="D150" t="str">
        <x:v>B.Braun</x:v>
      </x:c>
      <x:c r="E150" t="str">
        <x:v>Infusomat Space</x:v>
      </x:c>
      <x:c r="F150" t="str">
        <x:v>BME-BHP</x:v>
      </x:c>
      <x:c r="G150" t="str">
        <x:v>BHP</x:v>
      </x:c>
      <x:c r="H150" t="str">
        <x:v>2025-10-30</x:v>
      </x:c>
      <x:c r="I150" t="str">
        <x:v>5</x:v>
      </x:c>
      <x:c r="J150" t="str">
        <x:v>2026-03-30</x:v>
      </x:c>
      <x:c r="K150"/>
      <x:c r="L150" t="str">
        <x:v>2026-03-30</x:v>
      </x:c>
      <x:c r="M150" t="str">
        <x:v>-60.0</x:v>
      </x:c>
      <x:c r="N150" t="str">
        <x:v>60.0</x:v>
      </x:c>
      <x:c r="O150" t="str">
        <x:v>เช่ายืม</x:v>
      </x:c>
      <x:c r="P150" t="str">
        <x:v>เช่ายืม</x:v>
      </x:c>
      <x:c r="Q150" t="str">
        <x:v>อยู่ระหว่างเช่ายืม / เกินกำหนดคืน 60 วัน</x:v>
      </x:c>
      <x:c r="R150"/>
      <x:c r="S150" t="str">
        <x:v>150.0</x:v>
      </x:c>
    </x:row>
    <x:row r="151">
      <x:c r="A151" t="str">
        <x:v>R0145</x:v>
      </x:c>
      <x:c r="B151" t="str">
        <x:v>125503</x:v>
      </x:c>
      <x:c r="C151" t="str">
        <x:v>125503</x:v>
      </x:c>
      <x:c r="D151" t="str">
        <x:v>B.Braun</x:v>
      </x:c>
      <x:c r="E151" t="str">
        <x:v>Infusomat Space</x:v>
      </x:c>
      <x:c r="F151" t="str">
        <x:v>BME-BHP</x:v>
      </x:c>
      <x:c r="G151" t="str">
        <x:v>BHP</x:v>
      </x:c>
      <x:c r="H151" t="str">
        <x:v>2025-10-30</x:v>
      </x:c>
      <x:c r="I151" t="str">
        <x:v>5</x:v>
      </x:c>
      <x:c r="J151" t="str">
        <x:v>2026-03-30</x:v>
      </x:c>
      <x:c r="K151"/>
      <x:c r="L151" t="str">
        <x:v>2026-03-30</x:v>
      </x:c>
      <x:c r="M151" t="str">
        <x:v>-60.0</x:v>
      </x:c>
      <x:c r="N151" t="str">
        <x:v>60.0</x:v>
      </x:c>
      <x:c r="O151" t="str">
        <x:v>เช่ายืม</x:v>
      </x:c>
      <x:c r="P151" t="str">
        <x:v>เช่ายืม</x:v>
      </x:c>
      <x:c r="Q151" t="str">
        <x:v>อยู่ระหว่างเช่ายืม / เกินกำหนดคืน 60 วัน</x:v>
      </x:c>
      <x:c r="R151"/>
      <x:c r="S151" t="str">
        <x:v>151.0</x:v>
      </x:c>
    </x:row>
    <x:row r="152">
      <x:c r="A152" t="str">
        <x:v>R0145</x:v>
      </x:c>
      <x:c r="B152" t="str">
        <x:v>584445</x:v>
      </x:c>
      <x:c r="C152" t="str">
        <x:v>584445</x:v>
      </x:c>
      <x:c r="D152" t="str">
        <x:v>B.Braun</x:v>
      </x:c>
      <x:c r="E152" t="str">
        <x:v>Infusomat Space</x:v>
      </x:c>
      <x:c r="F152" t="str">
        <x:v>BME-BHP</x:v>
      </x:c>
      <x:c r="G152" t="str">
        <x:v>BHP</x:v>
      </x:c>
      <x:c r="H152" t="str">
        <x:v>2025-10-30</x:v>
      </x:c>
      <x:c r="I152" t="str">
        <x:v>5</x:v>
      </x:c>
      <x:c r="J152" t="str">
        <x:v>2026-03-30</x:v>
      </x:c>
      <x:c r="K152"/>
      <x:c r="L152" t="str">
        <x:v>2026-03-30</x:v>
      </x:c>
      <x:c r="M152" t="str">
        <x:v>-60.0</x:v>
      </x:c>
      <x:c r="N152" t="str">
        <x:v>60.0</x:v>
      </x:c>
      <x:c r="O152" t="str">
        <x:v>เช่ายืม</x:v>
      </x:c>
      <x:c r="P152" t="str">
        <x:v>เช่ายืม</x:v>
      </x:c>
      <x:c r="Q152" t="str">
        <x:v>อยู่ระหว่างเช่ายืม / เกินกำหนดคืน 60 วัน</x:v>
      </x:c>
      <x:c r="R152"/>
      <x:c r="S152" t="str">
        <x:v>152.0</x:v>
      </x:c>
    </x:row>
    <x:row r="153">
      <x:c r="A153" t="str">
        <x:v>R0145</x:v>
      </x:c>
      <x:c r="B153" t="str">
        <x:v>584030</x:v>
      </x:c>
      <x:c r="C153" t="str">
        <x:v>584030</x:v>
      </x:c>
      <x:c r="D153" t="str">
        <x:v>B.Braun</x:v>
      </x:c>
      <x:c r="E153" t="str">
        <x:v>Infusomat Space</x:v>
      </x:c>
      <x:c r="F153" t="str">
        <x:v>BME-BHP</x:v>
      </x:c>
      <x:c r="G153" t="str">
        <x:v>BHP</x:v>
      </x:c>
      <x:c r="H153" t="str">
        <x:v>2025-10-30</x:v>
      </x:c>
      <x:c r="I153" t="str">
        <x:v>5</x:v>
      </x:c>
      <x:c r="J153" t="str">
        <x:v>2026-03-30</x:v>
      </x:c>
      <x:c r="K153"/>
      <x:c r="L153" t="str">
        <x:v>2026-03-30</x:v>
      </x:c>
      <x:c r="M153" t="str">
        <x:v>-60.0</x:v>
      </x:c>
      <x:c r="N153" t="str">
        <x:v>60.0</x:v>
      </x:c>
      <x:c r="O153" t="str">
        <x:v>เช่ายืม</x:v>
      </x:c>
      <x:c r="P153" t="str">
        <x:v>เช่ายืม</x:v>
      </x:c>
      <x:c r="Q153" t="str">
        <x:v>อยู่ระหว่างเช่ายืม / เกินกำหนดคืน 60 วัน</x:v>
      </x:c>
      <x:c r="R153"/>
      <x:c r="S153" t="str">
        <x:v>153.0</x:v>
      </x:c>
    </x:row>
    <x:row r="154">
      <x:c r="A154" t="str">
        <x:v>R0145</x:v>
      </x:c>
      <x:c r="B154" t="str">
        <x:v>102795</x:v>
      </x:c>
      <x:c r="C154" t="str">
        <x:v>102795</x:v>
      </x:c>
      <x:c r="D154" t="str">
        <x:v>B.Braun</x:v>
      </x:c>
      <x:c r="E154" t="str">
        <x:v>Infusomat Space</x:v>
      </x:c>
      <x:c r="F154" t="str">
        <x:v>BME-BHP</x:v>
      </x:c>
      <x:c r="G154" t="str">
        <x:v>BHP</x:v>
      </x:c>
      <x:c r="H154" t="str">
        <x:v>2025-10-30</x:v>
      </x:c>
      <x:c r="I154" t="str">
        <x:v>5</x:v>
      </x:c>
      <x:c r="J154" t="str">
        <x:v>2026-03-30</x:v>
      </x:c>
      <x:c r="K154"/>
      <x:c r="L154" t="str">
        <x:v>2026-03-30</x:v>
      </x:c>
      <x:c r="M154" t="str">
        <x:v>-60.0</x:v>
      </x:c>
      <x:c r="N154" t="str">
        <x:v>60.0</x:v>
      </x:c>
      <x:c r="O154" t="str">
        <x:v>เช่ายืม</x:v>
      </x:c>
      <x:c r="P154" t="str">
        <x:v>เช่ายืม</x:v>
      </x:c>
      <x:c r="Q154" t="str">
        <x:v>อยู่ระหว่างเช่ายืม / เกินกำหนดคืน 60 วัน</x:v>
      </x:c>
      <x:c r="R154"/>
      <x:c r="S154" t="str">
        <x:v>154.0</x:v>
      </x:c>
    </x:row>
    <x:row r="155">
      <x:c r="A155" t="str">
        <x:v>R0145</x:v>
      </x:c>
      <x:c r="B155" t="str">
        <x:v>584034</x:v>
      </x:c>
      <x:c r="C155" t="str">
        <x:v>584034</x:v>
      </x:c>
      <x:c r="D155" t="str">
        <x:v>B.Braun</x:v>
      </x:c>
      <x:c r="E155" t="str">
        <x:v>Infusomat Space</x:v>
      </x:c>
      <x:c r="F155" t="str">
        <x:v>BME-BHP</x:v>
      </x:c>
      <x:c r="G155" t="str">
        <x:v>BHP</x:v>
      </x:c>
      <x:c r="H155" t="str">
        <x:v>2025-10-30</x:v>
      </x:c>
      <x:c r="I155" t="str">
        <x:v>5</x:v>
      </x:c>
      <x:c r="J155" t="str">
        <x:v>2026-03-30</x:v>
      </x:c>
      <x:c r="K155"/>
      <x:c r="L155" t="str">
        <x:v>2026-03-30</x:v>
      </x:c>
      <x:c r="M155" t="str">
        <x:v>-60.0</x:v>
      </x:c>
      <x:c r="N155" t="str">
        <x:v>60.0</x:v>
      </x:c>
      <x:c r="O155" t="str">
        <x:v>เช่ายืม</x:v>
      </x:c>
      <x:c r="P155" t="str">
        <x:v>เช่ายืม</x:v>
      </x:c>
      <x:c r="Q155" t="str">
        <x:v>อยู่ระหว่างเช่ายืม / เกินกำหนดคืน 60 วัน</x:v>
      </x:c>
      <x:c r="R155"/>
      <x:c r="S155" t="str">
        <x:v>155.0</x:v>
      </x:c>
    </x:row>
    <x:row r="156">
      <x:c r="A156" t="str">
        <x:v>R0145</x:v>
      </x:c>
      <x:c r="B156" t="str">
        <x:v>124781</x:v>
      </x:c>
      <x:c r="C156" t="str">
        <x:v>124781</x:v>
      </x:c>
      <x:c r="D156" t="str">
        <x:v>B.Braun</x:v>
      </x:c>
      <x:c r="E156" t="str">
        <x:v>Infusomat Space</x:v>
      </x:c>
      <x:c r="F156" t="str">
        <x:v>BME-BHP</x:v>
      </x:c>
      <x:c r="G156" t="str">
        <x:v>BHP</x:v>
      </x:c>
      <x:c r="H156" t="str">
        <x:v>2025-10-30</x:v>
      </x:c>
      <x:c r="I156" t="str">
        <x:v>5</x:v>
      </x:c>
      <x:c r="J156" t="str">
        <x:v>2026-03-30</x:v>
      </x:c>
      <x:c r="K156"/>
      <x:c r="L156" t="str">
        <x:v>2026-03-30</x:v>
      </x:c>
      <x:c r="M156" t="str">
        <x:v>-60.0</x:v>
      </x:c>
      <x:c r="N156" t="str">
        <x:v>60.0</x:v>
      </x:c>
      <x:c r="O156" t="str">
        <x:v>เช่ายืม</x:v>
      </x:c>
      <x:c r="P156" t="str">
        <x:v>เช่ายืม</x:v>
      </x:c>
      <x:c r="Q156" t="str">
        <x:v>อยู่ระหว่างเช่ายืม / เกินกำหนดคืน 60 วัน</x:v>
      </x:c>
      <x:c r="R156"/>
      <x:c r="S156" t="str">
        <x:v>156.0</x:v>
      </x:c>
    </x:row>
    <x:row r="157">
      <x:c r="A157" t="str">
        <x:v>R0145</x:v>
      </x:c>
      <x:c r="B157" t="str">
        <x:v>584419</x:v>
      </x:c>
      <x:c r="C157" t="str">
        <x:v>584419</x:v>
      </x:c>
      <x:c r="D157" t="str">
        <x:v>B.Braun</x:v>
      </x:c>
      <x:c r="E157" t="str">
        <x:v>Infusomat Space</x:v>
      </x:c>
      <x:c r="F157" t="str">
        <x:v>BME-BHP</x:v>
      </x:c>
      <x:c r="G157" t="str">
        <x:v>BHP</x:v>
      </x:c>
      <x:c r="H157" t="str">
        <x:v>2025-10-30</x:v>
      </x:c>
      <x:c r="I157" t="str">
        <x:v>5</x:v>
      </x:c>
      <x:c r="J157" t="str">
        <x:v>2026-03-30</x:v>
      </x:c>
      <x:c r="K157"/>
      <x:c r="L157" t="str">
        <x:v>2026-03-30</x:v>
      </x:c>
      <x:c r="M157" t="str">
        <x:v>-60.0</x:v>
      </x:c>
      <x:c r="N157" t="str">
        <x:v>60.0</x:v>
      </x:c>
      <x:c r="O157" t="str">
        <x:v>เช่ายืม</x:v>
      </x:c>
      <x:c r="P157" t="str">
        <x:v>เช่ายืม</x:v>
      </x:c>
      <x:c r="Q157" t="str">
        <x:v>อยู่ระหว่างเช่ายืม / เกินกำหนดคืน 60 วัน</x:v>
      </x:c>
      <x:c r="R157"/>
      <x:c r="S157" t="str">
        <x:v>157.0</x:v>
      </x:c>
    </x:row>
    <x:row r="158">
      <x:c r="A158" t="str">
        <x:v>R0145</x:v>
      </x:c>
      <x:c r="B158" t="str">
        <x:v>584413</x:v>
      </x:c>
      <x:c r="C158" t="str">
        <x:v>584413</x:v>
      </x:c>
      <x:c r="D158" t="str">
        <x:v>B.Braun</x:v>
      </x:c>
      <x:c r="E158" t="str">
        <x:v>Infusomat Space</x:v>
      </x:c>
      <x:c r="F158" t="str">
        <x:v>BME-BHP</x:v>
      </x:c>
      <x:c r="G158" t="str">
        <x:v>BHP</x:v>
      </x:c>
      <x:c r="H158" t="str">
        <x:v>2025-10-30</x:v>
      </x:c>
      <x:c r="I158" t="str">
        <x:v>5</x:v>
      </x:c>
      <x:c r="J158" t="str">
        <x:v>2026-03-30</x:v>
      </x:c>
      <x:c r="K158"/>
      <x:c r="L158" t="str">
        <x:v>2026-03-30</x:v>
      </x:c>
      <x:c r="M158" t="str">
        <x:v>-60.0</x:v>
      </x:c>
      <x:c r="N158" t="str">
        <x:v>60.0</x:v>
      </x:c>
      <x:c r="O158" t="str">
        <x:v>เช่ายืม</x:v>
      </x:c>
      <x:c r="P158" t="str">
        <x:v>เช่ายืม</x:v>
      </x:c>
      <x:c r="Q158" t="str">
        <x:v>อยู่ระหว่างเช่ายืม / เกินกำหนดคืน 60 วัน</x:v>
      </x:c>
      <x:c r="R158"/>
      <x:c r="S158" t="str">
        <x:v>158.0</x:v>
      </x:c>
    </x:row>
    <x:row r="159">
      <x:c r="A159" t="str">
        <x:v>R0145</x:v>
      </x:c>
      <x:c r="B159" t="str">
        <x:v>584395</x:v>
      </x:c>
      <x:c r="C159" t="str">
        <x:v>584395</x:v>
      </x:c>
      <x:c r="D159" t="str">
        <x:v>B.Braun</x:v>
      </x:c>
      <x:c r="E159" t="str">
        <x:v>Infusomat Space</x:v>
      </x:c>
      <x:c r="F159" t="str">
        <x:v>BME-BHP</x:v>
      </x:c>
      <x:c r="G159" t="str">
        <x:v>BHP</x:v>
      </x:c>
      <x:c r="H159" t="str">
        <x:v>2025-10-30</x:v>
      </x:c>
      <x:c r="I159" t="str">
        <x:v>5</x:v>
      </x:c>
      <x:c r="J159" t="str">
        <x:v>2026-03-30</x:v>
      </x:c>
      <x:c r="K159"/>
      <x:c r="L159" t="str">
        <x:v>2026-03-30</x:v>
      </x:c>
      <x:c r="M159" t="str">
        <x:v>-60.0</x:v>
      </x:c>
      <x:c r="N159" t="str">
        <x:v>60.0</x:v>
      </x:c>
      <x:c r="O159" t="str">
        <x:v>เช่ายืม</x:v>
      </x:c>
      <x:c r="P159" t="str">
        <x:v>เช่ายืม</x:v>
      </x:c>
      <x:c r="Q159" t="str">
        <x:v>อยู่ระหว่างเช่ายืม / เกินกำหนดคืน 60 วัน</x:v>
      </x:c>
      <x:c r="R159"/>
      <x:c r="S159" t="str">
        <x:v>159.0</x:v>
      </x:c>
    </x:row>
    <x:row r="160">
      <x:c r="A160" t="str">
        <x:v>R0145</x:v>
      </x:c>
      <x:c r="B160" t="str">
        <x:v>252197</x:v>
      </x:c>
      <x:c r="C160" t="str">
        <x:v>252197</x:v>
      </x:c>
      <x:c r="D160" t="str">
        <x:v>B.Braun</x:v>
      </x:c>
      <x:c r="E160" t="str">
        <x:v>Infusomat Space</x:v>
      </x:c>
      <x:c r="F160" t="str">
        <x:v>BME-BHP</x:v>
      </x:c>
      <x:c r="G160" t="str">
        <x:v>BHP</x:v>
      </x:c>
      <x:c r="H160" t="str">
        <x:v>2025-10-30</x:v>
      </x:c>
      <x:c r="I160" t="str">
        <x:v>5</x:v>
      </x:c>
      <x:c r="J160" t="str">
        <x:v>2026-03-30</x:v>
      </x:c>
      <x:c r="K160"/>
      <x:c r="L160" t="str">
        <x:v>2026-03-30</x:v>
      </x:c>
      <x:c r="M160" t="str">
        <x:v>-60.0</x:v>
      </x:c>
      <x:c r="N160" t="str">
        <x:v>60.0</x:v>
      </x:c>
      <x:c r="O160" t="str">
        <x:v>เช่ายืม</x:v>
      </x:c>
      <x:c r="P160" t="str">
        <x:v>เช่ายืม</x:v>
      </x:c>
      <x:c r="Q160" t="str">
        <x:v>อยู่ระหว่างเช่ายืม / เกินกำหนดคืน 60 วัน</x:v>
      </x:c>
      <x:c r="R160"/>
      <x:c r="S160" t="str">
        <x:v>160.0</x:v>
      </x:c>
    </x:row>
    <x:row r="161">
      <x:c r="A161" t="str">
        <x:v>R0145</x:v>
      </x:c>
      <x:c r="B161" t="str">
        <x:v>468501</x:v>
      </x:c>
      <x:c r="C161" t="str">
        <x:v>468501</x:v>
      </x:c>
      <x:c r="D161" t="str">
        <x:v>B.Braun</x:v>
      </x:c>
      <x:c r="E161" t="str">
        <x:v>Infusomat Space</x:v>
      </x:c>
      <x:c r="F161" t="str">
        <x:v>BME-BHP</x:v>
      </x:c>
      <x:c r="G161" t="str">
        <x:v>BHP</x:v>
      </x:c>
      <x:c r="H161" t="str">
        <x:v>2025-10-30</x:v>
      </x:c>
      <x:c r="I161" t="str">
        <x:v>5</x:v>
      </x:c>
      <x:c r="J161" t="str">
        <x:v>2026-03-30</x:v>
      </x:c>
      <x:c r="K161"/>
      <x:c r="L161" t="str">
        <x:v>2026-03-30</x:v>
      </x:c>
      <x:c r="M161" t="str">
        <x:v>-60.0</x:v>
      </x:c>
      <x:c r="N161" t="str">
        <x:v>60.0</x:v>
      </x:c>
      <x:c r="O161" t="str">
        <x:v>เช่ายืม</x:v>
      </x:c>
      <x:c r="P161" t="str">
        <x:v>เช่ายืม</x:v>
      </x:c>
      <x:c r="Q161" t="str">
        <x:v>อยู่ระหว่างเช่ายืม / เกินกำหนดคืน 60 วัน</x:v>
      </x:c>
      <x:c r="R161"/>
      <x:c r="S161" t="str">
        <x:v>161.0</x:v>
      </x:c>
    </x:row>
    <x:row r="162">
      <x:c r="A162" t="str">
        <x:v>R0145</x:v>
      </x:c>
      <x:c r="B162" t="str">
        <x:v>468360</x:v>
      </x:c>
      <x:c r="C162" t="str">
        <x:v>468360</x:v>
      </x:c>
      <x:c r="D162" t="str">
        <x:v>B.Braun</x:v>
      </x:c>
      <x:c r="E162" t="str">
        <x:v>Infusomat Space</x:v>
      </x:c>
      <x:c r="F162" t="str">
        <x:v>BPL</x:v>
      </x:c>
      <x:c r="G162" t="str">
        <x:v>BHP</x:v>
      </x:c>
      <x:c r="H162" t="str">
        <x:v>2025-10-30</x:v>
      </x:c>
      <x:c r="I162" t="str">
        <x:v>5</x:v>
      </x:c>
      <x:c r="J162" t="str">
        <x:v>2026-03-30</x:v>
      </x:c>
      <x:c r="K162"/>
      <x:c r="L162" t="str">
        <x:v>2026-03-30</x:v>
      </x:c>
      <x:c r="M162" t="str">
        <x:v>-60.0</x:v>
      </x:c>
      <x:c r="N162" t="str">
        <x:v>60.0</x:v>
      </x:c>
      <x:c r="O162" t="str">
        <x:v>เช่ายืม</x:v>
      </x:c>
      <x:c r="P162" t="str">
        <x:v>เช่ายืม</x:v>
      </x:c>
      <x:c r="Q162" t="str">
        <x:v>อยู่ระหว่างเช่ายืม / เกินกำหนดคืน 60 วัน</x:v>
      </x:c>
      <x:c r="R162" t="str">
        <x:v>เครื่องยืม</x:v>
      </x:c>
      <x:c r="S162" t="str">
        <x:v>162.0</x:v>
      </x:c>
    </x:row>
    <x:row r="163">
      <x:c r="A163" t="str">
        <x:v>R0145</x:v>
      </x:c>
      <x:c r="B163" t="str">
        <x:v>468299</x:v>
      </x:c>
      <x:c r="C163" t="str">
        <x:v>468299</x:v>
      </x:c>
      <x:c r="D163" t="str">
        <x:v>B.Braun</x:v>
      </x:c>
      <x:c r="E163" t="str">
        <x:v>Infusomat Space</x:v>
      </x:c>
      <x:c r="F163" t="str">
        <x:v>BHP</x:v>
      </x:c>
      <x:c r="G163" t="str">
        <x:v>BHP</x:v>
      </x:c>
      <x:c r="H163" t="str">
        <x:v>2025-10-30</x:v>
      </x:c>
      <x:c r="I163" t="str">
        <x:v>5</x:v>
      </x:c>
      <x:c r="J163" t="str">
        <x:v>2026-03-30</x:v>
      </x:c>
      <x:c r="K163"/>
      <x:c r="L163" t="str">
        <x:v>2026-03-30</x:v>
      </x:c>
      <x:c r="M163" t="str">
        <x:v>-60.0</x:v>
      </x:c>
      <x:c r="N163" t="str">
        <x:v>60.0</x:v>
      </x:c>
      <x:c r="O163" t="str">
        <x:v>เช่ายืม</x:v>
      </x:c>
      <x:c r="P163" t="str">
        <x:v>เช่ายืม</x:v>
      </x:c>
      <x:c r="Q163" t="str">
        <x:v>อยู่ระหว่างเช่ายืม / เกินกำหนดคืน 60 วัน</x:v>
      </x:c>
      <x:c r="R163" t="str">
        <x:v>เครื่องยืม</x:v>
      </x:c>
      <x:c r="S163" t="str">
        <x:v>163.0</x:v>
      </x:c>
    </x:row>
    <x:row r="164">
      <x:c r="A164" t="str">
        <x:v>R0145</x:v>
      </x:c>
      <x:c r="B164" t="str">
        <x:v>229912</x:v>
      </x:c>
      <x:c r="C164" t="str">
        <x:v>229912</x:v>
      </x:c>
      <x:c r="D164" t="str">
        <x:v>B.Braun</x:v>
      </x:c>
      <x:c r="E164" t="str">
        <x:v>Infusomat Space</x:v>
      </x:c>
      <x:c r="F164" t="str">
        <x:v>BHP</x:v>
      </x:c>
      <x:c r="G164" t="str">
        <x:v>BHP</x:v>
      </x:c>
      <x:c r="H164" t="str">
        <x:v>2025-10-30</x:v>
      </x:c>
      <x:c r="I164" t="str">
        <x:v>5</x:v>
      </x:c>
      <x:c r="J164" t="str">
        <x:v>2026-03-30</x:v>
      </x:c>
      <x:c r="K164"/>
      <x:c r="L164" t="str">
        <x:v>2026-03-30</x:v>
      </x:c>
      <x:c r="M164" t="str">
        <x:v>-60.0</x:v>
      </x:c>
      <x:c r="N164" t="str">
        <x:v>60.0</x:v>
      </x:c>
      <x:c r="O164" t="str">
        <x:v>เช่ายืม</x:v>
      </x:c>
      <x:c r="P164" t="str">
        <x:v>เช่ายืม</x:v>
      </x:c>
      <x:c r="Q164" t="str">
        <x:v>อยู่ระหว่างเช่ายืม / เกินกำหนดคืน 60 วัน</x:v>
      </x:c>
      <x:c r="R164" t="str">
        <x:v>เครื่องยืม</x:v>
      </x:c>
      <x:c r="S164" t="str">
        <x:v>164.0</x:v>
      </x:c>
    </x:row>
    <x:row r="165">
      <x:c r="A165" t="str">
        <x:v>R0145</x:v>
      </x:c>
      <x:c r="B165" t="str">
        <x:v>125508</x:v>
      </x:c>
      <x:c r="C165" t="str">
        <x:v>125508</x:v>
      </x:c>
      <x:c r="D165" t="str">
        <x:v>B.Braun</x:v>
      </x:c>
      <x:c r="E165" t="str">
        <x:v>Infusomat Space</x:v>
      </x:c>
      <x:c r="F165" t="str">
        <x:v>BHP</x:v>
      </x:c>
      <x:c r="G165" t="str">
        <x:v>BHP</x:v>
      </x:c>
      <x:c r="H165" t="str">
        <x:v>2025-10-30</x:v>
      </x:c>
      <x:c r="I165" t="str">
        <x:v>5</x:v>
      </x:c>
      <x:c r="J165" t="str">
        <x:v>2026-03-30</x:v>
      </x:c>
      <x:c r="K165"/>
      <x:c r="L165" t="str">
        <x:v>2026-03-30</x:v>
      </x:c>
      <x:c r="M165" t="str">
        <x:v>-60.0</x:v>
      </x:c>
      <x:c r="N165" t="str">
        <x:v>60.0</x:v>
      </x:c>
      <x:c r="O165" t="str">
        <x:v>เช่ายืม</x:v>
      </x:c>
      <x:c r="P165" t="str">
        <x:v>เช่ายืม</x:v>
      </x:c>
      <x:c r="Q165" t="str">
        <x:v>อยู่ระหว่างเช่ายืม / เกินกำหนดคืน 60 วัน</x:v>
      </x:c>
      <x:c r="R165" t="str">
        <x:v>เครื่องยืม</x:v>
      </x:c>
      <x:c r="S165" t="str">
        <x:v>165.0</x:v>
      </x:c>
    </x:row>
    <x:row r="166">
      <x:c r="A166" t="str">
        <x:v>R0145</x:v>
      </x:c>
      <x:c r="B166" t="str">
        <x:v>229810</x:v>
      </x:c>
      <x:c r="C166" t="str">
        <x:v>229810</x:v>
      </x:c>
      <x:c r="D166" t="str">
        <x:v>B.Braun</x:v>
      </x:c>
      <x:c r="E166" t="str">
        <x:v>Infusomat Space</x:v>
      </x:c>
      <x:c r="F166" t="str">
        <x:v>BHP</x:v>
      </x:c>
      <x:c r="G166" t="str">
        <x:v>BHP</x:v>
      </x:c>
      <x:c r="H166" t="str">
        <x:v>2025-10-30</x:v>
      </x:c>
      <x:c r="I166" t="str">
        <x:v>5</x:v>
      </x:c>
      <x:c r="J166" t="str">
        <x:v>2026-03-30</x:v>
      </x:c>
      <x:c r="K166"/>
      <x:c r="L166" t="str">
        <x:v>2026-03-30</x:v>
      </x:c>
      <x:c r="M166" t="str">
        <x:v>-60.0</x:v>
      </x:c>
      <x:c r="N166" t="str">
        <x:v>60.0</x:v>
      </x:c>
      <x:c r="O166" t="str">
        <x:v>เช่ายืม</x:v>
      </x:c>
      <x:c r="P166" t="str">
        <x:v>เช่ายืม</x:v>
      </x:c>
      <x:c r="Q166" t="str">
        <x:v>อยู่ระหว่างเช่ายืม / เกินกำหนดคืน 60 วัน</x:v>
      </x:c>
      <x:c r="R166" t="str">
        <x:v>เครื่องยืม</x:v>
      </x:c>
      <x:c r="S166" t="str">
        <x:v>166.0</x:v>
      </x:c>
    </x:row>
    <x:row r="167">
      <x:c r="A167" t="str">
        <x:v>R0145</x:v>
      </x:c>
      <x:c r="B167" t="str">
        <x:v>591373</x:v>
      </x:c>
      <x:c r="C167" t="str">
        <x:v>591373</x:v>
      </x:c>
      <x:c r="D167" t="str">
        <x:v>B.Braun</x:v>
      </x:c>
      <x:c r="E167" t="str">
        <x:v>Infusomat Space</x:v>
      </x:c>
      <x:c r="F167" t="str">
        <x:v>BME-BKN</x:v>
      </x:c>
      <x:c r="G167" t="str">
        <x:v>BME-BKN</x:v>
      </x:c>
      <x:c r="H167" t="str">
        <x:v>2025-10-30</x:v>
      </x:c>
      <x:c r="I167" t="str">
        <x:v>5</x:v>
      </x:c>
      <x:c r="J167" t="str">
        <x:v>2026-03-30</x:v>
      </x:c>
      <x:c r="K167"/>
      <x:c r="L167" t="str">
        <x:v>2026-03-30</x:v>
      </x:c>
      <x:c r="M167" t="str">
        <x:v>-60.0</x:v>
      </x:c>
      <x:c r="N167" t="str">
        <x:v>60.0</x:v>
      </x:c>
      <x:c r="O167" t="str">
        <x:v>เช่ายืม</x:v>
      </x:c>
      <x:c r="P167" t="str">
        <x:v>เช่ายืม</x:v>
      </x:c>
      <x:c r="Q167" t="str">
        <x:v>อยู่ระหว่างเช่ายืม / เกินกำหนดคืน 60 วัน</x:v>
      </x:c>
      <x:c r="R167" t="str">
        <x:v>591373</x:v>
      </x:c>
      <x:c r="S167" t="str">
        <x:v>167.0</x:v>
      </x:c>
    </x:row>
    <x:row r="168">
      <x:c r="A168" t="str">
        <x:v>R0146</x:v>
      </x:c>
      <x:c r="B168" t="str">
        <x:v>258301</x:v>
      </x:c>
      <x:c r="C168" t="str">
        <x:v>258301</x:v>
      </x:c>
      <x:c r="D168" t="str">
        <x:v>B.Braun</x:v>
      </x:c>
      <x:c r="E168" t="str">
        <x:v>Infusomat Space</x:v>
      </x:c>
      <x:c r="F168" t="str">
        <x:v>BME-BKN</x:v>
      </x:c>
      <x:c r="G168" t="str">
        <x:v>BME-BKN</x:v>
      </x:c>
      <x:c r="H168" t="str">
        <x:v>2025-10-30</x:v>
      </x:c>
      <x:c r="I168" t="str">
        <x:v>5</x:v>
      </x:c>
      <x:c r="J168" t="str">
        <x:v>2026-03-30</x:v>
      </x:c>
      <x:c r="K168"/>
      <x:c r="L168" t="str">
        <x:v>2026-03-30</x:v>
      </x:c>
      <x:c r="M168" t="str">
        <x:v>-60.0</x:v>
      </x:c>
      <x:c r="N168" t="str">
        <x:v>60.0</x:v>
      </x:c>
      <x:c r="O168" t="str">
        <x:v>เช่ายืม</x:v>
      </x:c>
      <x:c r="P168" t="str">
        <x:v>เช่ายืม</x:v>
      </x:c>
      <x:c r="Q168" t="str">
        <x:v>อยู่ระหว่างเช่ายืม / เกินกำหนดคืน 60 วัน</x:v>
      </x:c>
      <x:c r="R168" t="str">
        <x:v>321545</x:v>
      </x:c>
      <x:c r="S168" t="str">
        <x:v>168.0</x:v>
      </x:c>
    </x:row>
    <x:row r="169">
      <x:c r="A169" t="str">
        <x:v>R0147</x:v>
      </x:c>
      <x:c r="B169" t="str">
        <x:v>259921</x:v>
      </x:c>
      <x:c r="C169" t="str">
        <x:v>259921</x:v>
      </x:c>
      <x:c r="D169" t="str">
        <x:v>B.Braun</x:v>
      </x:c>
      <x:c r="E169" t="str">
        <x:v>Infusomat Space</x:v>
      </x:c>
      <x:c r="F169" t="str">
        <x:v>BME-BKN</x:v>
      </x:c>
      <x:c r="G169" t="str">
        <x:v>BME-BKN</x:v>
      </x:c>
      <x:c r="H169" t="str">
        <x:v>2025-10-30</x:v>
      </x:c>
      <x:c r="I169" t="str">
        <x:v>5</x:v>
      </x:c>
      <x:c r="J169" t="str">
        <x:v>2026-03-30</x:v>
      </x:c>
      <x:c r="K169"/>
      <x:c r="L169" t="str">
        <x:v>2026-03-30</x:v>
      </x:c>
      <x:c r="M169" t="str">
        <x:v>-60.0</x:v>
      </x:c>
      <x:c r="N169" t="str">
        <x:v>60.0</x:v>
      </x:c>
      <x:c r="O169" t="str">
        <x:v>เช่ายืม</x:v>
      </x:c>
      <x:c r="P169" t="str">
        <x:v>เช่ายืม</x:v>
      </x:c>
      <x:c r="Q169" t="str">
        <x:v>อยู่ระหว่างเช่ายืม / เกินกำหนดคืน 60 วัน</x:v>
      </x:c>
      <x:c r="R169" t="str">
        <x:v>389171</x:v>
      </x:c>
      <x:c r="S169" t="str">
        <x:v>169.0</x:v>
      </x:c>
    </x:row>
    <x:row r="170">
      <x:c r="A170" t="str">
        <x:v>R0148</x:v>
      </x:c>
      <x:c r="B170" t="str">
        <x:v>257288</x:v>
      </x:c>
      <x:c r="C170" t="str">
        <x:v>257288</x:v>
      </x:c>
      <x:c r="D170" t="str">
        <x:v>B.Braun</x:v>
      </x:c>
      <x:c r="E170" t="str">
        <x:v>Infusomat Space</x:v>
      </x:c>
      <x:c r="F170" t="str">
        <x:v>BME-BKN</x:v>
      </x:c>
      <x:c r="G170" t="str">
        <x:v>BME-BKN</x:v>
      </x:c>
      <x:c r="H170" t="str">
        <x:v>2025-10-30</x:v>
      </x:c>
      <x:c r="I170" t="str">
        <x:v>5</x:v>
      </x:c>
      <x:c r="J170" t="str">
        <x:v>46111.0</x:v>
      </x:c>
      <x:c r="K170"/>
      <x:c r="L170" t="str">
        <x:v>46111.0</x:v>
      </x:c>
      <x:c r="M170" t="str">
        <x:v>-78.0</x:v>
      </x:c>
      <x:c r="N170" t="str">
        <x:v>78.0</x:v>
      </x:c>
      <x:c r="O170" t="str">
        <x:v>เช่ายืม</x:v>
      </x:c>
      <x:c r="P170" t="str">
        <x:v>เช่ายืม</x:v>
      </x:c>
      <x:c r="Q170" t="str">
        <x:v>อยู่ระหว่างเช่ายืม / เกินกำหนดคืน 78 วัน</x:v>
      </x:c>
      <x:c r="R170" t="str">
        <x:v>Extend contract from web</x:v>
      </x:c>
      <x:c r="S170" t="str">
        <x:v>170.0</x:v>
      </x:c>
    </x:row>
    <x:row r="171">
      <x:c r="A171" t="str">
        <x:v>R0149</x:v>
      </x:c>
      <x:c r="B171" t="str">
        <x:v>282590</x:v>
      </x:c>
      <x:c r="C171" t="str">
        <x:v>282590</x:v>
      </x:c>
      <x:c r="D171" t="str">
        <x:v>B.Braun</x:v>
      </x:c>
      <x:c r="E171" t="str">
        <x:v>Infusomat Space</x:v>
      </x:c>
      <x:c r="F171" t="str">
        <x:v>BME-BKN</x:v>
      </x:c>
      <x:c r="G171" t="str">
        <x:v>BME-BKN</x:v>
      </x:c>
      <x:c r="H171" t="str">
        <x:v>2025-10-30</x:v>
      </x:c>
      <x:c r="I171" t="str">
        <x:v>5</x:v>
      </x:c>
      <x:c r="J171" t="str">
        <x:v>2026-03-30</x:v>
      </x:c>
      <x:c r="K171"/>
      <x:c r="L171" t="str">
        <x:v>2026-03-30</x:v>
      </x:c>
      <x:c r="M171" t="str">
        <x:v>-60.0</x:v>
      </x:c>
      <x:c r="N171" t="str">
        <x:v>60.0</x:v>
      </x:c>
      <x:c r="O171" t="str">
        <x:v>เช่ายืม</x:v>
      </x:c>
      <x:c r="P171" t="str">
        <x:v>เช่ายืม</x:v>
      </x:c>
      <x:c r="Q171" t="str">
        <x:v>อยู่ระหว่างเช่ายืม / เกินกำหนดคืน 60 วัน</x:v>
      </x:c>
      <x:c r="R171" t="str">
        <x:v>389191</x:v>
      </x:c>
      <x:c r="S171" t="str">
        <x:v>171.0</x:v>
      </x:c>
    </x:row>
    <x:row r="172">
      <x:c r="A172" t="str">
        <x:v>R0150</x:v>
      </x:c>
      <x:c r="B172" t="str">
        <x:v>334459</x:v>
      </x:c>
      <x:c r="C172" t="str">
        <x:v>334459</x:v>
      </x:c>
      <x:c r="D172" t="str">
        <x:v>B.Braun</x:v>
      </x:c>
      <x:c r="E172" t="str">
        <x:v>Infusomat Space</x:v>
      </x:c>
      <x:c r="F172" t="str">
        <x:v>BME-BKN</x:v>
      </x:c>
      <x:c r="G172" t="str">
        <x:v>BME-BKN</x:v>
      </x:c>
      <x:c r="H172" t="str">
        <x:v>2025-10-30</x:v>
      </x:c>
      <x:c r="I172" t="str">
        <x:v>5</x:v>
      </x:c>
      <x:c r="J172" t="str">
        <x:v>2026-03-30</x:v>
      </x:c>
      <x:c r="K172"/>
      <x:c r="L172" t="str">
        <x:v>2026-03-30</x:v>
      </x:c>
      <x:c r="M172" t="str">
        <x:v>-60.0</x:v>
      </x:c>
      <x:c r="N172" t="str">
        <x:v>60.0</x:v>
      </x:c>
      <x:c r="O172" t="str">
        <x:v>เช่ายืม</x:v>
      </x:c>
      <x:c r="P172" t="str">
        <x:v>เช่ายืม</x:v>
      </x:c>
      <x:c r="Q172" t="str">
        <x:v>อยู่ระหว่างเช่ายืม / เกินกำหนดคืน 60 วัน</x:v>
      </x:c>
      <x:c r="R172" t="str">
        <x:v>341769</x:v>
      </x:c>
      <x:c r="S172" t="str">
        <x:v>172.0</x:v>
      </x:c>
    </x:row>
    <x:row r="173">
      <x:c r="A173" t="str">
        <x:v>R0151</x:v>
      </x:c>
      <x:c r="B173" t="str">
        <x:v>284741</x:v>
      </x:c>
      <x:c r="C173" t="str">
        <x:v>284741</x:v>
      </x:c>
      <x:c r="D173" t="str">
        <x:v>B.Braun</x:v>
      </x:c>
      <x:c r="E173" t="str">
        <x:v>Infusomat Space</x:v>
      </x:c>
      <x:c r="F173" t="str">
        <x:v>BME-BKN</x:v>
      </x:c>
      <x:c r="G173" t="str">
        <x:v>BME-BKN</x:v>
      </x:c>
      <x:c r="H173" t="str">
        <x:v>2025-10-30</x:v>
      </x:c>
      <x:c r="I173" t="str">
        <x:v>5</x:v>
      </x:c>
      <x:c r="J173" t="str">
        <x:v>2026-03-30</x:v>
      </x:c>
      <x:c r="K173"/>
      <x:c r="L173" t="str">
        <x:v>2026-03-30</x:v>
      </x:c>
      <x:c r="M173" t="str">
        <x:v>-60.0</x:v>
      </x:c>
      <x:c r="N173" t="str">
        <x:v>60.0</x:v>
      </x:c>
      <x:c r="O173" t="str">
        <x:v>เช่ายืม</x:v>
      </x:c>
      <x:c r="P173" t="str">
        <x:v>เช่ายืม</x:v>
      </x:c>
      <x:c r="Q173" t="str">
        <x:v>อยู่ระหว่างเช่ายืม / เกินกำหนดคืน 60 วัน</x:v>
      </x:c>
      <x:c r="R173" t="str">
        <x:v>392036</x:v>
      </x:c>
      <x:c r="S173" t="str">
        <x:v>173.0</x:v>
      </x:c>
    </x:row>
    <x:row r="174">
      <x:c r="A174" t="str">
        <x:v>R0152</x:v>
      </x:c>
      <x:c r="B174" t="str">
        <x:v>281367</x:v>
      </x:c>
      <x:c r="C174" t="str">
        <x:v>281367</x:v>
      </x:c>
      <x:c r="D174" t="str">
        <x:v>B.Braun</x:v>
      </x:c>
      <x:c r="E174" t="str">
        <x:v>Infusomat Space</x:v>
      </x:c>
      <x:c r="F174" t="str">
        <x:v>BME-BKN</x:v>
      </x:c>
      <x:c r="G174" t="str">
        <x:v>BME-BKN</x:v>
      </x:c>
      <x:c r="H174" t="str">
        <x:v>2025-10-30</x:v>
      </x:c>
      <x:c r="I174" t="str">
        <x:v>5</x:v>
      </x:c>
      <x:c r="J174" t="str">
        <x:v>2026-03-30</x:v>
      </x:c>
      <x:c r="K174"/>
      <x:c r="L174" t="str">
        <x:v>2026-03-30</x:v>
      </x:c>
      <x:c r="M174" t="str">
        <x:v>-60.0</x:v>
      </x:c>
      <x:c r="N174" t="str">
        <x:v>60.0</x:v>
      </x:c>
      <x:c r="O174" t="str">
        <x:v>เช่ายืม</x:v>
      </x:c>
      <x:c r="P174" t="str">
        <x:v>เช่ายืม</x:v>
      </x:c>
      <x:c r="Q174" t="str">
        <x:v>อยู่ระหว่างเช่ายืม / เกินกำหนดคืน 60 วัน</x:v>
      </x:c>
      <x:c r="R174" t="str">
        <x:v>686012</x:v>
      </x:c>
      <x:c r="S174" t="str">
        <x:v>174.0</x:v>
      </x:c>
    </x:row>
    <x:row r="175">
      <x:c r="A175" t="str">
        <x:v>R0153</x:v>
      </x:c>
      <x:c r="B175" t="str">
        <x:v>334432</x:v>
      </x:c>
      <x:c r="C175" t="str">
        <x:v>334432</x:v>
      </x:c>
      <x:c r="D175" t="str">
        <x:v>B.Braun</x:v>
      </x:c>
      <x:c r="E175" t="str">
        <x:v>Infusomat Space</x:v>
      </x:c>
      <x:c r="F175" t="str">
        <x:v>BME-BKN</x:v>
      </x:c>
      <x:c r="G175" t="str">
        <x:v>BME-BKN</x:v>
      </x:c>
      <x:c r="H175" t="str">
        <x:v>2025-10-30</x:v>
      </x:c>
      <x:c r="I175" t="str">
        <x:v>5</x:v>
      </x:c>
      <x:c r="J175" t="str">
        <x:v>2026-03-30</x:v>
      </x:c>
      <x:c r="K175"/>
      <x:c r="L175" t="str">
        <x:v>2026-03-30</x:v>
      </x:c>
      <x:c r="M175" t="str">
        <x:v>-60.0</x:v>
      </x:c>
      <x:c r="N175" t="str">
        <x:v>60.0</x:v>
      </x:c>
      <x:c r="O175" t="str">
        <x:v>เช่ายืม</x:v>
      </x:c>
      <x:c r="P175" t="str">
        <x:v>เช่ายืม</x:v>
      </x:c>
      <x:c r="Q175" t="str">
        <x:v>อยู่ระหว่างเช่ายืม / เกินกำหนดคืน 60 วัน</x:v>
      </x:c>
      <x:c r="R175" t="str">
        <x:v>568871</x:v>
      </x:c>
      <x:c r="S175" t="str">
        <x:v>175.0</x:v>
      </x:c>
    </x:row>
    <x:row r="176">
      <x:c r="A176" t="str">
        <x:v>R0154</x:v>
      </x:c>
      <x:c r="B176" t="str">
        <x:v>334507</x:v>
      </x:c>
      <x:c r="C176" t="str">
        <x:v>334507</x:v>
      </x:c>
      <x:c r="D176" t="str">
        <x:v>B.Braun</x:v>
      </x:c>
      <x:c r="E176" t="str">
        <x:v>Infusomat Space</x:v>
      </x:c>
      <x:c r="F176" t="str">
        <x:v>BME-BKN</x:v>
      </x:c>
      <x:c r="G176" t="str">
        <x:v>BME-BKN</x:v>
      </x:c>
      <x:c r="H176" t="str">
        <x:v>2025-10-30</x:v>
      </x:c>
      <x:c r="I176" t="str">
        <x:v>5</x:v>
      </x:c>
      <x:c r="J176" t="str">
        <x:v>2026-03-30</x:v>
      </x:c>
      <x:c r="K176"/>
      <x:c r="L176" t="str">
        <x:v>2026-03-30</x:v>
      </x:c>
      <x:c r="M176" t="str">
        <x:v>-60.0</x:v>
      </x:c>
      <x:c r="N176" t="str">
        <x:v>60.0</x:v>
      </x:c>
      <x:c r="O176" t="str">
        <x:v>เช่ายืม</x:v>
      </x:c>
      <x:c r="P176" t="str">
        <x:v>เช่ายืม</x:v>
      </x:c>
      <x:c r="Q176" t="str">
        <x:v>อยู่ระหว่างเช่ายืม / เกินกำหนดคืน 60 วัน</x:v>
      </x:c>
      <x:c r="R176" t="str">
        <x:v>389373</x:v>
      </x:c>
      <x:c r="S176" t="str">
        <x:v>176.0</x:v>
      </x:c>
    </x:row>
    <x:row r="177">
      <x:c r="A177" t="str">
        <x:v>R0155</x:v>
      </x:c>
      <x:c r="B177" t="str">
        <x:v>280586</x:v>
      </x:c>
      <x:c r="C177" t="str">
        <x:v>280586</x:v>
      </x:c>
      <x:c r="D177" t="str">
        <x:v>B.Braun</x:v>
      </x:c>
      <x:c r="E177" t="str">
        <x:v>Infusomat Space</x:v>
      </x:c>
      <x:c r="F177" t="str">
        <x:v>BME-BKN</x:v>
      </x:c>
      <x:c r="G177" t="str">
        <x:v>BME-BKN</x:v>
      </x:c>
      <x:c r="H177" t="str">
        <x:v>2025-10-30</x:v>
      </x:c>
      <x:c r="I177" t="str">
        <x:v>5</x:v>
      </x:c>
      <x:c r="J177" t="str">
        <x:v>2026-03-30</x:v>
      </x:c>
      <x:c r="K177"/>
      <x:c r="L177" t="str">
        <x:v>2026-03-30</x:v>
      </x:c>
      <x:c r="M177" t="str">
        <x:v>-60.0</x:v>
      </x:c>
      <x:c r="N177" t="str">
        <x:v>60.0</x:v>
      </x:c>
      <x:c r="O177" t="str">
        <x:v>เช่ายืม</x:v>
      </x:c>
      <x:c r="P177" t="str">
        <x:v>เช่ายืม</x:v>
      </x:c>
      <x:c r="Q177" t="str">
        <x:v>อยู่ระหว่างเช่ายืม / เกินกำหนดคืน 60 วัน</x:v>
      </x:c>
      <x:c r="R177" t="str">
        <x:v>321562</x:v>
      </x:c>
      <x:c r="S177" t="str">
        <x:v>177.0</x:v>
      </x:c>
    </x:row>
    <x:row r="178">
      <x:c r="A178" t="str">
        <x:v>R0156</x:v>
      </x:c>
      <x:c r="B178" t="str">
        <x:v>284796</x:v>
      </x:c>
      <x:c r="C178" t="str">
        <x:v>284796</x:v>
      </x:c>
      <x:c r="D178" t="str">
        <x:v>B.Braun</x:v>
      </x:c>
      <x:c r="E178" t="str">
        <x:v>Infusomat Space</x:v>
      </x:c>
      <x:c r="F178" t="str">
        <x:v>BME-BKN</x:v>
      </x:c>
      <x:c r="G178" t="str">
        <x:v>BME-BKN</x:v>
      </x:c>
      <x:c r="H178" t="str">
        <x:v>2025-10-30</x:v>
      </x:c>
      <x:c r="I178" t="str">
        <x:v>5</x:v>
      </x:c>
      <x:c r="J178" t="str">
        <x:v>2026-03-30</x:v>
      </x:c>
      <x:c r="K178"/>
      <x:c r="L178" t="str">
        <x:v>2026-03-30</x:v>
      </x:c>
      <x:c r="M178" t="str">
        <x:v>-60.0</x:v>
      </x:c>
      <x:c r="N178" t="str">
        <x:v>60.0</x:v>
      </x:c>
      <x:c r="O178" t="str">
        <x:v>เช่ายืม</x:v>
      </x:c>
      <x:c r="P178" t="str">
        <x:v>เช่ายืม</x:v>
      </x:c>
      <x:c r="Q178" t="str">
        <x:v>อยู่ระหว่างเช่ายืม / เกินกำหนดคืน 60 วัน</x:v>
      </x:c>
      <x:c r="R178" t="str">
        <x:v>463976</x:v>
      </x:c>
      <x:c r="S178" t="str">
        <x:v>178.0</x:v>
      </x:c>
    </x:row>
    <x:row r="179">
      <x:c r="A179" t="str">
        <x:v>R0157</x:v>
      </x:c>
      <x:c r="B179" t="str">
        <x:v>281408</x:v>
      </x:c>
      <x:c r="C179" t="str">
        <x:v>281408</x:v>
      </x:c>
      <x:c r="D179" t="str">
        <x:v>B.Braun</x:v>
      </x:c>
      <x:c r="E179" t="str">
        <x:v>Infusomat Space</x:v>
      </x:c>
      <x:c r="F179" t="str">
        <x:v>BME-BKN</x:v>
      </x:c>
      <x:c r="G179" t="str">
        <x:v>BME-BKN</x:v>
      </x:c>
      <x:c r="H179" t="str">
        <x:v>2025-10-30</x:v>
      </x:c>
      <x:c r="I179" t="str">
        <x:v>5</x:v>
      </x:c>
      <x:c r="J179" t="str">
        <x:v>2026-03-30</x:v>
      </x:c>
      <x:c r="K179"/>
      <x:c r="L179" t="str">
        <x:v>2026-03-30</x:v>
      </x:c>
      <x:c r="M179" t="str">
        <x:v>-60.0</x:v>
      </x:c>
      <x:c r="N179" t="str">
        <x:v>60.0</x:v>
      </x:c>
      <x:c r="O179" t="str">
        <x:v>เช่ายืม</x:v>
      </x:c>
      <x:c r="P179" t="str">
        <x:v>เช่ายืม</x:v>
      </x:c>
      <x:c r="Q179" t="str">
        <x:v>อยู่ระหว่างเช่ายืม / เกินกำหนดคืน 60 วัน</x:v>
      </x:c>
      <x:c r="R179" t="str">
        <x:v>541514</x:v>
      </x:c>
      <x:c r="S179" t="str">
        <x:v>179.0</x:v>
      </x:c>
    </x:row>
    <x:row r="180">
      <x:c r="A180" t="str">
        <x:v>R0158</x:v>
      </x:c>
      <x:c r="B180" t="str">
        <x:v>280630</x:v>
      </x:c>
      <x:c r="C180" t="str">
        <x:v>280630</x:v>
      </x:c>
      <x:c r="D180" t="str">
        <x:v>B.Braun</x:v>
      </x:c>
      <x:c r="E180" t="str">
        <x:v>Infusomat Space</x:v>
      </x:c>
      <x:c r="F180" t="str">
        <x:v>BME-BKN</x:v>
      </x:c>
      <x:c r="G180" t="str">
        <x:v>BME-BKN</x:v>
      </x:c>
      <x:c r="H180" t="str">
        <x:v>2025-10-30</x:v>
      </x:c>
      <x:c r="I180" t="str">
        <x:v>5</x:v>
      </x:c>
      <x:c r="J180" t="str">
        <x:v>2026-03-30</x:v>
      </x:c>
      <x:c r="K180"/>
      <x:c r="L180" t="str">
        <x:v>2026-03-30</x:v>
      </x:c>
      <x:c r="M180" t="str">
        <x:v>-60.0</x:v>
      </x:c>
      <x:c r="N180" t="str">
        <x:v>60.0</x:v>
      </x:c>
      <x:c r="O180" t="str">
        <x:v>เช่ายืม</x:v>
      </x:c>
      <x:c r="P180" t="str">
        <x:v>เช่ายืม</x:v>
      </x:c>
      <x:c r="Q180" t="str">
        <x:v>อยู่ระหว่างเช่ายืม / เกินกำหนดคืน 60 วัน</x:v>
      </x:c>
      <x:c r="R180" t="str">
        <x:v>540451</x:v>
      </x:c>
      <x:c r="S180" t="str">
        <x:v>180.0</x:v>
      </x:c>
    </x:row>
    <x:row r="181">
      <x:c r="A181" t="str">
        <x:v>R0159</x:v>
      </x:c>
      <x:c r="B181" t="str">
        <x:v>468640</x:v>
      </x:c>
      <x:c r="C181" t="str">
        <x:v>468640</x:v>
      </x:c>
      <x:c r="D181" t="str">
        <x:v>B.Braun</x:v>
      </x:c>
      <x:c r="E181" t="str">
        <x:v>Infusomat Space</x:v>
      </x:c>
      <x:c r="F181" t="str">
        <x:v>BME-BKN</x:v>
      </x:c>
      <x:c r="G181" t="str">
        <x:v>BME-BKN</x:v>
      </x:c>
      <x:c r="H181" t="str">
        <x:v>2025-10-30</x:v>
      </x:c>
      <x:c r="I181" t="str">
        <x:v>5</x:v>
      </x:c>
      <x:c r="J181" t="str">
        <x:v>2026-03-30</x:v>
      </x:c>
      <x:c r="K181"/>
      <x:c r="L181" t="str">
        <x:v>2026-03-30</x:v>
      </x:c>
      <x:c r="M181" t="str">
        <x:v>-60.0</x:v>
      </x:c>
      <x:c r="N181" t="str">
        <x:v>60.0</x:v>
      </x:c>
      <x:c r="O181" t="str">
        <x:v>เช่ายืม</x:v>
      </x:c>
      <x:c r="P181" t="str">
        <x:v>เช่ายืม</x:v>
      </x:c>
      <x:c r="Q181" t="str">
        <x:v>อยู่ระหว่างเช่ายืม / เกินกำหนดคืน 60 วัน</x:v>
      </x:c>
      <x:c r="R181" t="str">
        <x:v>649021</x:v>
      </x:c>
      <x:c r="S181" t="str">
        <x:v>181.0</x:v>
      </x:c>
    </x:row>
    <x:row r="182">
      <x:c r="A182" t="str">
        <x:v>R0160</x:v>
      </x:c>
      <x:c r="B182" t="str">
        <x:v>336022</x:v>
      </x:c>
      <x:c r="C182" t="str">
        <x:v>336022</x:v>
      </x:c>
      <x:c r="D182" t="str">
        <x:v>B.Braun</x:v>
      </x:c>
      <x:c r="E182" t="str">
        <x:v>Infusomat Space</x:v>
      </x:c>
      <x:c r="F182" t="str">
        <x:v>BME-BKN</x:v>
      </x:c>
      <x:c r="G182" t="str">
        <x:v>BME-BKN</x:v>
      </x:c>
      <x:c r="H182" t="str">
        <x:v>2025-10-30</x:v>
      </x:c>
      <x:c r="I182" t="str">
        <x:v>5</x:v>
      </x:c>
      <x:c r="J182" t="str">
        <x:v>2026-03-30</x:v>
      </x:c>
      <x:c r="K182"/>
      <x:c r="L182" t="str">
        <x:v>2026-03-30</x:v>
      </x:c>
      <x:c r="M182" t="str">
        <x:v>-60.0</x:v>
      </x:c>
      <x:c r="N182" t="str">
        <x:v>60.0</x:v>
      </x:c>
      <x:c r="O182" t="str">
        <x:v>เช่ายืม</x:v>
      </x:c>
      <x:c r="P182" t="str">
        <x:v>เช่ายืม</x:v>
      </x:c>
      <x:c r="Q182" t="str">
        <x:v>อยู่ระหว่างเช่ายืม / เกินกำหนดคืน 60 วัน</x:v>
      </x:c>
      <x:c r="R182" t="str">
        <x:v>5055761021</x:v>
      </x:c>
      <x:c r="S182" t="str">
        <x:v>182.0</x:v>
      </x:c>
    </x:row>
    <x:row r="183">
      <x:c r="A183" t="str">
        <x:v>R0161</x:v>
      </x:c>
      <x:c r="B183" t="str">
        <x:v>281321</x:v>
      </x:c>
      <x:c r="C183" t="str">
        <x:v>281321</x:v>
      </x:c>
      <x:c r="D183" t="str">
        <x:v>B.Braun</x:v>
      </x:c>
      <x:c r="E183" t="str">
        <x:v>Infusomat Space</x:v>
      </x:c>
      <x:c r="F183" t="str">
        <x:v>BME-BKN</x:v>
      </x:c>
      <x:c r="G183" t="str">
        <x:v>BME-BKN</x:v>
      </x:c>
      <x:c r="H183" t="str">
        <x:v>2025-10-30</x:v>
      </x:c>
      <x:c r="I183" t="str">
        <x:v>5</x:v>
      </x:c>
      <x:c r="J183" t="str">
        <x:v>2026-03-30</x:v>
      </x:c>
      <x:c r="K183"/>
      <x:c r="L183" t="str">
        <x:v>2026-03-30</x:v>
      </x:c>
      <x:c r="M183" t="str">
        <x:v>-60.0</x:v>
      </x:c>
      <x:c r="N183" t="str">
        <x:v>60.0</x:v>
      </x:c>
      <x:c r="O183" t="str">
        <x:v>เช่ายืม</x:v>
      </x:c>
      <x:c r="P183" t="str">
        <x:v>เช่ายืม</x:v>
      </x:c>
      <x:c r="Q183" t="str">
        <x:v>อยู่ระหว่างเช่ายืม / เกินกำหนดคืน 60 วัน</x:v>
      </x:c>
      <x:c r="R183" t="str">
        <x:v>5060747083</x:v>
      </x:c>
      <x:c r="S183" t="str">
        <x:v>183.0</x:v>
      </x:c>
    </x:row>
    <x:row r="184">
      <x:c r="A184" t="str">
        <x:v>R0162</x:v>
      </x:c>
      <x:c r="B184" t="str">
        <x:v>334558</x:v>
      </x:c>
      <x:c r="C184" t="str">
        <x:v>334558</x:v>
      </x:c>
      <x:c r="D184" t="str">
        <x:v>B.Braun</x:v>
      </x:c>
      <x:c r="E184" t="str">
        <x:v>Infusomat Space</x:v>
      </x:c>
      <x:c r="F184" t="str">
        <x:v>BME-BKN</x:v>
      </x:c>
      <x:c r="G184" t="str">
        <x:v>BME-BKN</x:v>
      </x:c>
      <x:c r="H184" t="str">
        <x:v>2025-10-30</x:v>
      </x:c>
      <x:c r="I184" t="str">
        <x:v>5</x:v>
      </x:c>
      <x:c r="J184" t="str">
        <x:v>2026-03-30</x:v>
      </x:c>
      <x:c r="K184"/>
      <x:c r="L184" t="str">
        <x:v>2026-03-30</x:v>
      </x:c>
      <x:c r="M184" t="str">
        <x:v>-60.0</x:v>
      </x:c>
      <x:c r="N184" t="str">
        <x:v>60.0</x:v>
      </x:c>
      <x:c r="O184" t="str">
        <x:v>เช่ายืม</x:v>
      </x:c>
      <x:c r="P184" t="str">
        <x:v>เช่ายืม</x:v>
      </x:c>
      <x:c r="Q184" t="str">
        <x:v>อยู่ระหว่างเช่ายืม / เกินกำหนดคืน 60 วัน</x:v>
      </x:c>
      <x:c r="R184" t="str">
        <x:v>5060234053</x:v>
      </x:c>
      <x:c r="S184" t="str">
        <x:v>184.0</x:v>
      </x:c>
    </x:row>
    <x:row r="185">
      <x:c r="A185" t="str">
        <x:v>R0163</x:v>
      </x:c>
      <x:c r="B185" t="str">
        <x:v>280607</x:v>
      </x:c>
      <x:c r="C185" t="str">
        <x:v>280607</x:v>
      </x:c>
      <x:c r="D185" t="str">
        <x:v>B.Braun</x:v>
      </x:c>
      <x:c r="E185" t="str">
        <x:v>Infusomat Space</x:v>
      </x:c>
      <x:c r="F185" t="str">
        <x:v>BME-BKN</x:v>
      </x:c>
      <x:c r="G185" t="str">
        <x:v>BME-BKN</x:v>
      </x:c>
      <x:c r="H185" t="str">
        <x:v>2025-10-30</x:v>
      </x:c>
      <x:c r="I185" t="str">
        <x:v>5</x:v>
      </x:c>
      <x:c r="J185" t="str">
        <x:v>2026-03-30</x:v>
      </x:c>
      <x:c r="K185"/>
      <x:c r="L185" t="str">
        <x:v>2026-03-30</x:v>
      </x:c>
      <x:c r="M185" t="str">
        <x:v>-60.0</x:v>
      </x:c>
      <x:c r="N185" t="str">
        <x:v>60.0</x:v>
      </x:c>
      <x:c r="O185" t="str">
        <x:v>เช่ายืม</x:v>
      </x:c>
      <x:c r="P185" t="str">
        <x:v>เช่ายืม</x:v>
      </x:c>
      <x:c r="Q185" t="str">
        <x:v>อยู่ระหว่างเช่ายืม / เกินกำหนดคืน 60 วัน</x:v>
      </x:c>
      <x:c r="R185" t="str">
        <x:v>5055761021</x:v>
      </x:c>
      <x:c r="S185" t="str">
        <x:v>185.0</x:v>
      </x:c>
    </x:row>
    <x:row r="186">
      <x:c r="A186" t="str">
        <x:v>R0164</x:v>
      </x:c>
      <x:c r="B186" t="str">
        <x:v>334515</x:v>
      </x:c>
      <x:c r="C186" t="str">
        <x:v>334515</x:v>
      </x:c>
      <x:c r="D186" t="str">
        <x:v>B.Braun</x:v>
      </x:c>
      <x:c r="E186" t="str">
        <x:v>Infusomat Space</x:v>
      </x:c>
      <x:c r="F186" t="str">
        <x:v>BME-BKN</x:v>
      </x:c>
      <x:c r="G186" t="str">
        <x:v>BME-BKN</x:v>
      </x:c>
      <x:c r="H186" t="str">
        <x:v>2025-10-30</x:v>
      </x:c>
      <x:c r="I186" t="str">
        <x:v>5</x:v>
      </x:c>
      <x:c r="J186" t="str">
        <x:v>2026-03-30</x:v>
      </x:c>
      <x:c r="K186"/>
      <x:c r="L186" t="str">
        <x:v>2026-03-30</x:v>
      </x:c>
      <x:c r="M186" t="str">
        <x:v>-60.0</x:v>
      </x:c>
      <x:c r="N186" t="str">
        <x:v>60.0</x:v>
      </x:c>
      <x:c r="O186" t="str">
        <x:v>เช่ายืม</x:v>
      </x:c>
      <x:c r="P186" t="str">
        <x:v>เช่ายืม</x:v>
      </x:c>
      <x:c r="Q186" t="str">
        <x:v>อยู่ระหว่างเช่ายืม / เกินกำหนดคืน 60 วัน</x:v>
      </x:c>
      <x:c r="R186" t="str">
        <x:v>5060481073</x:v>
      </x:c>
      <x:c r="S186" t="str">
        <x:v>186.0</x:v>
      </x:c>
    </x:row>
    <x:row r="187">
      <x:c r="A187" t="str">
        <x:v>R0165</x:v>
      </x:c>
      <x:c r="B187" t="str">
        <x:v>336007</x:v>
      </x:c>
      <x:c r="C187" t="str">
        <x:v>336007</x:v>
      </x:c>
      <x:c r="D187" t="str">
        <x:v>B.Braun</x:v>
      </x:c>
      <x:c r="E187" t="str">
        <x:v>Infusomat Space</x:v>
      </x:c>
      <x:c r="F187" t="str">
        <x:v>BME-BKN</x:v>
      </x:c>
      <x:c r="G187" t="str">
        <x:v>BME-BKN</x:v>
      </x:c>
      <x:c r="H187" t="str">
        <x:v>2025-10-30</x:v>
      </x:c>
      <x:c r="I187" t="str">
        <x:v>5</x:v>
      </x:c>
      <x:c r="J187" t="str">
        <x:v>2026-03-30</x:v>
      </x:c>
      <x:c r="K187"/>
      <x:c r="L187" t="str">
        <x:v>2026-03-30</x:v>
      </x:c>
      <x:c r="M187" t="str">
        <x:v>-60.0</x:v>
      </x:c>
      <x:c r="N187" t="str">
        <x:v>60.0</x:v>
      </x:c>
      <x:c r="O187" t="str">
        <x:v>เช่ายืม</x:v>
      </x:c>
      <x:c r="P187" t="str">
        <x:v>เช่ายืม</x:v>
      </x:c>
      <x:c r="Q187" t="str">
        <x:v>อยู่ระหว่างเช่ายืม / เกินกำหนดคืน 60 วัน</x:v>
      </x:c>
      <x:c r="R187" t="str">
        <x:v>-</x:v>
      </x:c>
      <x:c r="S187" t="str">
        <x:v>187.0</x:v>
      </x:c>
    </x:row>
    <x:row r="188">
      <x:c r="A188" t="str">
        <x:v>R0166</x:v>
      </x:c>
      <x:c r="B188" t="str">
        <x:v>280629</x:v>
      </x:c>
      <x:c r="C188" t="str">
        <x:v>280629</x:v>
      </x:c>
      <x:c r="D188" t="str">
        <x:v>B.Braun</x:v>
      </x:c>
      <x:c r="E188" t="str">
        <x:v>Infusomat Space</x:v>
      </x:c>
      <x:c r="F188" t="str">
        <x:v>BME-BKN</x:v>
      </x:c>
      <x:c r="G188" t="str">
        <x:v>BME-BKN</x:v>
      </x:c>
      <x:c r="H188" t="str">
        <x:v>2025-10-30</x:v>
      </x:c>
      <x:c r="I188" t="str">
        <x:v>5</x:v>
      </x:c>
      <x:c r="J188" t="str">
        <x:v>2026-03-30</x:v>
      </x:c>
      <x:c r="K188"/>
      <x:c r="L188" t="str">
        <x:v>2026-03-30</x:v>
      </x:c>
      <x:c r="M188" t="str">
        <x:v>-60.0</x:v>
      </x:c>
      <x:c r="N188" t="str">
        <x:v>60.0</x:v>
      </x:c>
      <x:c r="O188" t="str">
        <x:v>เช่ายืม</x:v>
      </x:c>
      <x:c r="P188" t="str">
        <x:v>เช่ายืม</x:v>
      </x:c>
      <x:c r="Q188" t="str">
        <x:v>อยู่ระหว่างเช่ายืม / เกินกำหนดคืน 60 วัน</x:v>
      </x:c>
      <x:c r="R188" t="str">
        <x:v>-</x:v>
      </x:c>
      <x:c r="S188" t="str">
        <x:v>188.0</x:v>
      </x:c>
    </x:row>
    <x:row r="189">
      <x:c r="A189" t="str">
        <x:v>R0167</x:v>
      </x:c>
      <x:c r="B189" t="str">
        <x:v>336026</x:v>
      </x:c>
      <x:c r="C189" t="str">
        <x:v>336026</x:v>
      </x:c>
      <x:c r="D189" t="str">
        <x:v>B.Braun</x:v>
      </x:c>
      <x:c r="E189" t="str">
        <x:v>Infusomat Space</x:v>
      </x:c>
      <x:c r="F189" t="str">
        <x:v>BME-BKN</x:v>
      </x:c>
      <x:c r="G189" t="str">
        <x:v>BME-BKN</x:v>
      </x:c>
      <x:c r="H189" t="str">
        <x:v>2025-10-30</x:v>
      </x:c>
      <x:c r="I189" t="str">
        <x:v>5</x:v>
      </x:c>
      <x:c r="J189" t="str">
        <x:v>2026-03-30</x:v>
      </x:c>
      <x:c r="K189"/>
      <x:c r="L189" t="str">
        <x:v>2026-03-30</x:v>
      </x:c>
      <x:c r="M189" t="str">
        <x:v>-60.0</x:v>
      </x:c>
      <x:c r="N189" t="str">
        <x:v>60.0</x:v>
      </x:c>
      <x:c r="O189" t="str">
        <x:v>เช่ายืม</x:v>
      </x:c>
      <x:c r="P189" t="str">
        <x:v>เช่ายืม</x:v>
      </x:c>
      <x:c r="Q189" t="str">
        <x:v>อยู่ระหว่างเช่ายืม / เกินกำหนดคืน 60 วัน</x:v>
      </x:c>
      <x:c r="R189" t="str">
        <x:v>-</x:v>
      </x:c>
      <x:c r="S189" t="str">
        <x:v>189.0</x:v>
      </x:c>
    </x:row>
    <x:row r="190">
      <x:c r="A190" t="str">
        <x:v>R0168</x:v>
      </x:c>
      <x:c r="B190" t="str">
        <x:v>259994</x:v>
      </x:c>
      <x:c r="C190" t="str">
        <x:v>259994</x:v>
      </x:c>
      <x:c r="D190" t="str">
        <x:v>B.Braun</x:v>
      </x:c>
      <x:c r="E190" t="str">
        <x:v>Infusomat Space</x:v>
      </x:c>
      <x:c r="F190" t="str">
        <x:v>BME-BKN</x:v>
      </x:c>
      <x:c r="G190" t="str">
        <x:v>BME-BKN</x:v>
      </x:c>
      <x:c r="H190" t="str">
        <x:v>2025-10-30</x:v>
      </x:c>
      <x:c r="I190" t="str">
        <x:v>5</x:v>
      </x:c>
      <x:c r="J190" t="str">
        <x:v>2026-03-30</x:v>
      </x:c>
      <x:c r="K190"/>
      <x:c r="L190" t="str">
        <x:v>2026-03-30</x:v>
      </x:c>
      <x:c r="M190" t="str">
        <x:v>-60.0</x:v>
      </x:c>
      <x:c r="N190" t="str">
        <x:v>60.0</x:v>
      </x:c>
      <x:c r="O190" t="str">
        <x:v>เช่ายืม</x:v>
      </x:c>
      <x:c r="P190" t="str">
        <x:v>เช่ายืม</x:v>
      </x:c>
      <x:c r="Q190" t="str">
        <x:v>อยู่ระหว่างเช่ายืม / เกินกำหนดคืน 60 วัน</x:v>
      </x:c>
      <x:c r="R190" t="str">
        <x:v>-</x:v>
      </x:c>
      <x:c r="S190" t="str">
        <x:v>190.0</x:v>
      </x:c>
    </x:row>
    <x:row r="191">
      <x:c r="A191" t="str">
        <x:v>R0169</x:v>
      </x:c>
      <x:c r="B191" t="str">
        <x:v>280600</x:v>
      </x:c>
      <x:c r="C191" t="str">
        <x:v>280600</x:v>
      </x:c>
      <x:c r="D191" t="str">
        <x:v>B.Braun</x:v>
      </x:c>
      <x:c r="E191" t="str">
        <x:v>Infusomat Space</x:v>
      </x:c>
      <x:c r="F191" t="str">
        <x:v>BME-BKN</x:v>
      </x:c>
      <x:c r="G191" t="str">
        <x:v>BME-BKN</x:v>
      </x:c>
      <x:c r="H191" t="str">
        <x:v>2025-10-30</x:v>
      </x:c>
      <x:c r="I191" t="str">
        <x:v>5</x:v>
      </x:c>
      <x:c r="J191" t="str">
        <x:v>2026-03-30</x:v>
      </x:c>
      <x:c r="K191"/>
      <x:c r="L191" t="str">
        <x:v>2026-03-30</x:v>
      </x:c>
      <x:c r="M191" t="str">
        <x:v>-60.0</x:v>
      </x:c>
      <x:c r="N191" t="str">
        <x:v>60.0</x:v>
      </x:c>
      <x:c r="O191" t="str">
        <x:v>เช่ายืม</x:v>
      </x:c>
      <x:c r="P191" t="str">
        <x:v>เช่ายืม</x:v>
      </x:c>
      <x:c r="Q191" t="str">
        <x:v>อยู่ระหว่างเช่ายืม / เกินกำหนดคืน 60 วัน</x:v>
      </x:c>
      <x:c r="R191" t="str">
        <x:v>-</x:v>
      </x:c>
      <x:c r="S191" t="str">
        <x:v>191.0</x:v>
      </x:c>
    </x:row>
    <x:row r="192">
      <x:c r="A192" t="str">
        <x:v>R0170</x:v>
      </x:c>
      <x:c r="B192" t="str">
        <x:v>334479</x:v>
      </x:c>
      <x:c r="C192" t="str">
        <x:v>334479</x:v>
      </x:c>
      <x:c r="D192" t="str">
        <x:v>B.Braun</x:v>
      </x:c>
      <x:c r="E192" t="str">
        <x:v>Infusomat Space</x:v>
      </x:c>
      <x:c r="F192" t="str">
        <x:v>BME-BKN</x:v>
      </x:c>
      <x:c r="G192" t="str">
        <x:v>BME-BKN</x:v>
      </x:c>
      <x:c r="H192" t="str">
        <x:v>2025-10-30</x:v>
      </x:c>
      <x:c r="I192" t="str">
        <x:v>5</x:v>
      </x:c>
      <x:c r="J192" t="str">
        <x:v>2026-03-30</x:v>
      </x:c>
      <x:c r="K192"/>
      <x:c r="L192" t="str">
        <x:v>2026-03-30</x:v>
      </x:c>
      <x:c r="M192" t="str">
        <x:v>-60.0</x:v>
      </x:c>
      <x:c r="N192" t="str">
        <x:v>60.0</x:v>
      </x:c>
      <x:c r="O192" t="str">
        <x:v>เช่ายืม</x:v>
      </x:c>
      <x:c r="P192" t="str">
        <x:v>เช่ายืม</x:v>
      </x:c>
      <x:c r="Q192" t="str">
        <x:v>อยู่ระหว่างเช่ายืม / เกินกำหนดคืน 60 วัน</x:v>
      </x:c>
      <x:c r="R192" t="str">
        <x:v>-</x:v>
      </x:c>
      <x:c r="S192" t="str">
        <x:v>192.0</x:v>
      </x:c>
    </x:row>
    <x:row r="193">
      <x:c r="A193" t="str">
        <x:v>R0171</x:v>
      </x:c>
      <x:c r="B193" t="str">
        <x:v>468668</x:v>
      </x:c>
      <x:c r="C193" t="str">
        <x:v>468668</x:v>
      </x:c>
      <x:c r="D193" t="str">
        <x:v>B.Braun</x:v>
      </x:c>
      <x:c r="E193" t="str">
        <x:v>Infusomat Space</x:v>
      </x:c>
      <x:c r="F193" t="str">
        <x:v>BME-BKN</x:v>
      </x:c>
      <x:c r="G193" t="str">
        <x:v>BME-BKN</x:v>
      </x:c>
      <x:c r="H193" t="str">
        <x:v>2025-10-30</x:v>
      </x:c>
      <x:c r="I193" t="str">
        <x:v>5</x:v>
      </x:c>
      <x:c r="J193" t="str">
        <x:v>2026-03-30</x:v>
      </x:c>
      <x:c r="K193"/>
      <x:c r="L193" t="str">
        <x:v>2026-03-30</x:v>
      </x:c>
      <x:c r="M193" t="str">
        <x:v>-60.0</x:v>
      </x:c>
      <x:c r="N193" t="str">
        <x:v>60.0</x:v>
      </x:c>
      <x:c r="O193" t="str">
        <x:v>เช่ายืม</x:v>
      </x:c>
      <x:c r="P193" t="str">
        <x:v>เช่ายืม</x:v>
      </x:c>
      <x:c r="Q193" t="str">
        <x:v>อยู่ระหว่างเช่ายืม / เกินกำหนดคืน 60 วัน</x:v>
      </x:c>
      <x:c r="R193" t="str">
        <x:v>-</x:v>
      </x:c>
      <x:c r="S193" t="str">
        <x:v>193.0</x:v>
      </x:c>
    </x:row>
    <x:row r="194">
      <x:c r="A194" t="str">
        <x:v>R0172</x:v>
      </x:c>
      <x:c r="B194" t="str">
        <x:v>282577</x:v>
      </x:c>
      <x:c r="C194" t="str">
        <x:v>282577</x:v>
      </x:c>
      <x:c r="D194" t="str">
        <x:v>B.Braun</x:v>
      </x:c>
      <x:c r="E194" t="str">
        <x:v>Infusomat Space</x:v>
      </x:c>
      <x:c r="F194" t="str">
        <x:v>BME-BKN</x:v>
      </x:c>
      <x:c r="G194" t="str">
        <x:v>BME-BKN</x:v>
      </x:c>
      <x:c r="H194" t="str">
        <x:v>2025-10-30</x:v>
      </x:c>
      <x:c r="I194" t="str">
        <x:v>5</x:v>
      </x:c>
      <x:c r="J194" t="str">
        <x:v>2026-03-30</x:v>
      </x:c>
      <x:c r="K194"/>
      <x:c r="L194" t="str">
        <x:v>2026-03-30</x:v>
      </x:c>
      <x:c r="M194" t="str">
        <x:v>-60.0</x:v>
      </x:c>
      <x:c r="N194" t="str">
        <x:v>60.0</x:v>
      </x:c>
      <x:c r="O194" t="str">
        <x:v>เช่ายืม</x:v>
      </x:c>
      <x:c r="P194" t="str">
        <x:v>เช่ายืม</x:v>
      </x:c>
      <x:c r="Q194" t="str">
        <x:v>อยู่ระหว่างเช่ายืม / เกินกำหนดคืน 60 วัน</x:v>
      </x:c>
      <x:c r="R194" t="str">
        <x:v>-</x:v>
      </x:c>
      <x:c r="S194" t="str">
        <x:v>194.0</x:v>
      </x:c>
    </x:row>
    <x:row r="195">
      <x:c r="A195" t="str">
        <x:v>R0173</x:v>
      </x:c>
      <x:c r="B195" t="str">
        <x:v>280688</x:v>
      </x:c>
      <x:c r="C195" t="str">
        <x:v>280688</x:v>
      </x:c>
      <x:c r="D195" t="str">
        <x:v>B.Braun</x:v>
      </x:c>
      <x:c r="E195" t="str">
        <x:v>Infusomat Space</x:v>
      </x:c>
      <x:c r="F195" t="str">
        <x:v>BME-BKN</x:v>
      </x:c>
      <x:c r="G195" t="str">
        <x:v>BME-BKN</x:v>
      </x:c>
      <x:c r="H195" t="str">
        <x:v>2025-10-30</x:v>
      </x:c>
      <x:c r="I195" t="str">
        <x:v>5</x:v>
      </x:c>
      <x:c r="J195" t="str">
        <x:v>2026-03-30</x:v>
      </x:c>
      <x:c r="K195"/>
      <x:c r="L195" t="str">
        <x:v>2026-03-30</x:v>
      </x:c>
      <x:c r="M195" t="str">
        <x:v>-60.0</x:v>
      </x:c>
      <x:c r="N195" t="str">
        <x:v>60.0</x:v>
      </x:c>
      <x:c r="O195" t="str">
        <x:v>เช่ายืม</x:v>
      </x:c>
      <x:c r="P195" t="str">
        <x:v>เช่ายืม</x:v>
      </x:c>
      <x:c r="Q195" t="str">
        <x:v>อยู่ระหว่างเช่ายืม / เกินกำหนดคืน 60 วัน</x:v>
      </x:c>
      <x:c r="R195" t="str">
        <x:v>-</x:v>
      </x:c>
      <x:c r="S195" t="str">
        <x:v>195.0</x:v>
      </x:c>
    </x:row>
    <x:row r="196">
      <x:c r="A196" t="str">
        <x:v>R0174</x:v>
      </x:c>
      <x:c r="B196" t="str">
        <x:v>280609</x:v>
      </x:c>
      <x:c r="C196" t="str">
        <x:v>280609</x:v>
      </x:c>
      <x:c r="D196" t="str">
        <x:v>B.Braun</x:v>
      </x:c>
      <x:c r="E196" t="str">
        <x:v>Infusomat Space</x:v>
      </x:c>
      <x:c r="F196" t="str">
        <x:v>BME-BKN</x:v>
      </x:c>
      <x:c r="G196" t="str">
        <x:v>BME-BKN</x:v>
      </x:c>
      <x:c r="H196" t="str">
        <x:v>2025-10-30</x:v>
      </x:c>
      <x:c r="I196" t="str">
        <x:v>5</x:v>
      </x:c>
      <x:c r="J196" t="str">
        <x:v>2026-03-30</x:v>
      </x:c>
      <x:c r="K196"/>
      <x:c r="L196" t="str">
        <x:v>2026-03-30</x:v>
      </x:c>
      <x:c r="M196" t="str">
        <x:v>-60.0</x:v>
      </x:c>
      <x:c r="N196" t="str">
        <x:v>60.0</x:v>
      </x:c>
      <x:c r="O196" t="str">
        <x:v>เช่ายืม</x:v>
      </x:c>
      <x:c r="P196" t="str">
        <x:v>เช่ายืม</x:v>
      </x:c>
      <x:c r="Q196" t="str">
        <x:v>อยู่ระหว่างเช่ายืม / เกินกำหนดคืน 60 วัน</x:v>
      </x:c>
      <x:c r="R196" t="str">
        <x:v>-</x:v>
      </x:c>
      <x:c r="S196" t="str">
        <x:v>196.0</x:v>
      </x:c>
    </x:row>
    <x:row r="197">
      <x:c r="A197" t="str">
        <x:v>R0175</x:v>
      </x:c>
      <x:c r="B197" t="str">
        <x:v>CESR00023</x:v>
      </x:c>
      <x:c r="C197" t="str">
        <x:v>21123050019</x:v>
      </x:c>
      <x:c r="D197" t="str">
        <x:v>BYOND</x:v>
      </x:c>
      <x:c r="E197" t="str">
        <x:v>Sunfusion Semi-2</x:v>
      </x:c>
      <x:c r="F197" t="str">
        <x:v>ศูนย์การแพทย์กาญจนาภิเษก</x:v>
      </x:c>
      <x:c r="G197" t="str">
        <x:v>ศูนย์การแพทย์กาญจนาภิเษก</x:v>
      </x:c>
      <x:c r="H197" t="str">
        <x:v>2025-11-04</x:v>
      </x:c>
      <x:c r="I197" t="str">
        <x:v>1</x:v>
      </x:c>
      <x:c r="J197" t="str">
        <x:v>2025-12-04</x:v>
      </x:c>
      <x:c r="K197"/>
      <x:c r="L197" t="str">
        <x:v>2025-12-04</x:v>
      </x:c>
      <x:c r="M197" t="str">
        <x:v>-176.0</x:v>
      </x:c>
      <x:c r="N197" t="str">
        <x:v>176.0</x:v>
      </x:c>
      <x:c r="O197" t="str">
        <x:v>เช่ายืม</x:v>
      </x:c>
      <x:c r="P197" t="str">
        <x:v>เช่ายืม</x:v>
      </x:c>
      <x:c r="Q197" t="str">
        <x:v>อยู่ระหว่างเช่ายืม / เกินกำหนดคืน 176 วัน</x:v>
      </x:c>
      <x:c r="R197" t="str">
        <x:v>-</x:v>
      </x:c>
      <x:c r="S197" t="str">
        <x:v>197.0</x:v>
      </x:c>
    </x:row>
    <x:row r="198">
      <x:c r="A198" t="str">
        <x:v>R0176</x:v>
      </x:c>
      <x:c r="B198" t="str">
        <x:v>CESR00014</x:v>
      </x:c>
      <x:c r="C198" t="str">
        <x:v>21123050009</x:v>
      </x:c>
      <x:c r="D198" t="str">
        <x:v>BYOND</x:v>
      </x:c>
      <x:c r="E198" t="str">
        <x:v>Sunfusion Semi-2</x:v>
      </x:c>
      <x:c r="F198" t="str">
        <x:v>ศูนย์การแพทย์กาญจนาภิเษก</x:v>
      </x:c>
      <x:c r="G198" t="str">
        <x:v>ศูนย์การแพทย์กาญจนาภิเษก</x:v>
      </x:c>
      <x:c r="H198" t="str">
        <x:v>2025-11-04</x:v>
      </x:c>
      <x:c r="I198" t="str">
        <x:v>1</x:v>
      </x:c>
      <x:c r="J198" t="str">
        <x:v>2025-12-04</x:v>
      </x:c>
      <x:c r="K198"/>
      <x:c r="L198" t="str">
        <x:v>2025-12-04</x:v>
      </x:c>
      <x:c r="M198" t="str">
        <x:v>-176.0</x:v>
      </x:c>
      <x:c r="N198" t="str">
        <x:v>176.0</x:v>
      </x:c>
      <x:c r="O198" t="str">
        <x:v>เช่ายืม</x:v>
      </x:c>
      <x:c r="P198" t="str">
        <x:v>เช่ายืม</x:v>
      </x:c>
      <x:c r="Q198" t="str">
        <x:v>อยู่ระหว่างเช่ายืม / เกินกำหนดคืน 176 วัน</x:v>
      </x:c>
      <x:c r="R198" t="str">
        <x:v>-</x:v>
      </x:c>
      <x:c r="S198" t="str">
        <x:v>198.0</x:v>
      </x:c>
    </x:row>
    <x:row r="199">
      <x:c r="A199" t="str">
        <x:v>R0177</x:v>
      </x:c>
      <x:c r="B199" t="str">
        <x:v>CESR00002</x:v>
      </x:c>
      <x:c r="C199" t="str">
        <x:v>21123030197</x:v>
      </x:c>
      <x:c r="D199" t="str">
        <x:v>BYOND</x:v>
      </x:c>
      <x:c r="E199" t="str">
        <x:v>Sunfusion Semi-2</x:v>
      </x:c>
      <x:c r="F199" t="str">
        <x:v>ศูนย์การแพทย์กาญจนาภิเษก</x:v>
      </x:c>
      <x:c r="G199" t="str">
        <x:v>ศูนย์การแพทย์กาญจนาภิเษก</x:v>
      </x:c>
      <x:c r="H199" t="str">
        <x:v>2025-11-04</x:v>
      </x:c>
      <x:c r="I199" t="str">
        <x:v>1</x:v>
      </x:c>
      <x:c r="J199" t="str">
        <x:v>2025-12-04</x:v>
      </x:c>
      <x:c r="K199"/>
      <x:c r="L199" t="str">
        <x:v>2025-12-04</x:v>
      </x:c>
      <x:c r="M199" t="str">
        <x:v>-176.0</x:v>
      </x:c>
      <x:c r="N199" t="str">
        <x:v>176.0</x:v>
      </x:c>
      <x:c r="O199" t="str">
        <x:v>เช่ายืม</x:v>
      </x:c>
      <x:c r="P199" t="str">
        <x:v>เช่ายืม</x:v>
      </x:c>
      <x:c r="Q199" t="str">
        <x:v>อยู่ระหว่างเช่ายืม / เกินกำหนดคืน 176 วัน</x:v>
      </x:c>
      <x:c r="R199" t="str">
        <x:v>-</x:v>
      </x:c>
      <x:c r="S199" t="str">
        <x:v>199.0</x:v>
      </x:c>
    </x:row>
    <x:row r="200">
      <x:c r="A200" t="str">
        <x:v>R0178</x:v>
      </x:c>
      <x:c r="B200" t="str">
        <x:v>CESR00008</x:v>
      </x:c>
      <x:c r="C200" t="str">
        <x:v>21123050003</x:v>
      </x:c>
      <x:c r="D200" t="str">
        <x:v>BYOND</x:v>
      </x:c>
      <x:c r="E200" t="str">
        <x:v>Sunfusion Semi-2</x:v>
      </x:c>
      <x:c r="F200" t="str">
        <x:v>ศูนย์การแพทย์กาญจนาภิเษก</x:v>
      </x:c>
      <x:c r="G200" t="str">
        <x:v>ศูนย์การแพทย์กาญจนาภิเษก</x:v>
      </x:c>
      <x:c r="H200" t="str">
        <x:v>2025-11-04</x:v>
      </x:c>
      <x:c r="I200" t="str">
        <x:v>1</x:v>
      </x:c>
      <x:c r="J200" t="str">
        <x:v>2025-12-04</x:v>
      </x:c>
      <x:c r="K200"/>
      <x:c r="L200" t="str">
        <x:v>2025-12-04</x:v>
      </x:c>
      <x:c r="M200" t="str">
        <x:v>-176.0</x:v>
      </x:c>
      <x:c r="N200" t="str">
        <x:v>176.0</x:v>
      </x:c>
      <x:c r="O200" t="str">
        <x:v>เช่ายืม</x:v>
      </x:c>
      <x:c r="P200" t="str">
        <x:v>เช่ายืม</x:v>
      </x:c>
      <x:c r="Q200" t="str">
        <x:v>อยู่ระหว่างเช่ายืม / เกินกำหนดคืน 176 วัน</x:v>
      </x:c>
      <x:c r="R200" t="str">
        <x:v>-</x:v>
      </x:c>
      <x:c r="S200" t="str">
        <x:v>200.0</x:v>
      </x:c>
    </x:row>
    <x:row r="201">
      <x:c r="A201" t="str">
        <x:v>R0179</x:v>
      </x:c>
      <x:c r="B201" t="str">
        <x:v>CESR00009</x:v>
      </x:c>
      <x:c r="C201" t="str">
        <x:v>21123050004</x:v>
      </x:c>
      <x:c r="D201" t="str">
        <x:v>BYOND</x:v>
      </x:c>
      <x:c r="E201" t="str">
        <x:v>Sunfusion Semi-2</x:v>
      </x:c>
      <x:c r="F201" t="str">
        <x:v>ศูนย์การแพทย์กาญจนาภิเษก</x:v>
      </x:c>
      <x:c r="G201" t="str">
        <x:v>ศูนย์การแพทย์กาญจนาภิเษก</x:v>
      </x:c>
      <x:c r="H201" t="str">
        <x:v>2025-11-04</x:v>
      </x:c>
      <x:c r="I201" t="str">
        <x:v>1</x:v>
      </x:c>
      <x:c r="J201" t="str">
        <x:v>2025-12-04</x:v>
      </x:c>
      <x:c r="K201"/>
      <x:c r="L201" t="str">
        <x:v>2025-12-04</x:v>
      </x:c>
      <x:c r="M201" t="str">
        <x:v>-176.0</x:v>
      </x:c>
      <x:c r="N201" t="str">
        <x:v>176.0</x:v>
      </x:c>
      <x:c r="O201" t="str">
        <x:v>เช่ายืม</x:v>
      </x:c>
      <x:c r="P201" t="str">
        <x:v>เช่ายืม</x:v>
      </x:c>
      <x:c r="Q201" t="str">
        <x:v>อยู่ระหว่างเช่ายืม / เกินกำหนดคืน 176 วัน</x:v>
      </x:c>
      <x:c r="R201" t="str">
        <x:v>-</x:v>
      </x:c>
      <x:c r="S201" t="str">
        <x:v>201.0</x:v>
      </x:c>
    </x:row>
    <x:row r="202">
      <x:c r="A202" t="str">
        <x:v>R0180</x:v>
      </x:c>
      <x:c r="B202" t="str">
        <x:v>CESR00010</x:v>
      </x:c>
      <x:c r="C202" t="str">
        <x:v>21123050005</x:v>
      </x:c>
      <x:c r="D202" t="str">
        <x:v>BYOND</x:v>
      </x:c>
      <x:c r="E202" t="str">
        <x:v>Sunfusion Semi-2</x:v>
      </x:c>
      <x:c r="F202" t="str">
        <x:v>ศูนย์การแพทย์กาญจนาภิเษก</x:v>
      </x:c>
      <x:c r="G202" t="str">
        <x:v>ศูนย์การแพทย์กาญจนาภิเษก</x:v>
      </x:c>
      <x:c r="H202" t="str">
        <x:v>2025-11-04</x:v>
      </x:c>
      <x:c r="I202" t="str">
        <x:v>1</x:v>
      </x:c>
      <x:c r="J202" t="str">
        <x:v>2025-12-04</x:v>
      </x:c>
      <x:c r="K202" t="str">
        <x:v>46171.0</x:v>
      </x:c>
      <x:c r="L202" t="str">
        <x:v>2025-12-04</x:v>
      </x:c>
      <x:c r="M202" t="str">
        <x:v>-176.0</x:v>
      </x:c>
      <x:c r="N202" t="str">
        <x:v>176.0</x:v>
      </x:c>
      <x:c r="O202" t="str">
        <x:v>คืนแล้ว</x:v>
      </x:c>
      <x:c r="P202" t="str">
        <x:v>รอสอบเทียบ</x:v>
      </x:c>
      <x:c r="Q202" t="str">
        <x:v>Returned</x:v>
      </x:c>
      <x:c r="R202" t="str">
        <x:v>Return from web</x:v>
      </x:c>
      <x:c r="S202" t="str">
        <x:v>202.0</x:v>
      </x:c>
    </x:row>
    <x:row r="203">
      <x:c r="A203" t="str">
        <x:v>R0181</x:v>
      </x:c>
      <x:c r="B203" t="str">
        <x:v>CESR00006</x:v>
      </x:c>
      <x:c r="C203" t="str">
        <x:v>21123050001</x:v>
      </x:c>
      <x:c r="D203" t="str">
        <x:v>BYOND</x:v>
      </x:c>
      <x:c r="E203" t="str">
        <x:v>Sunfusion Semi-2</x:v>
      </x:c>
      <x:c r="F203" t="str">
        <x:v>ศูนย์การแพทย์กาญจนาภิเษก</x:v>
      </x:c>
      <x:c r="G203" t="str">
        <x:v>ศูนย์การแพทย์กาญจนาภิเษก</x:v>
      </x:c>
      <x:c r="H203" t="str">
        <x:v>2025-11-04</x:v>
      </x:c>
      <x:c r="I203" t="str">
        <x:v>1</x:v>
      </x:c>
      <x:c r="J203" t="str">
        <x:v>2025-12-04</x:v>
      </x:c>
      <x:c r="K203"/>
      <x:c r="L203" t="str">
        <x:v>2025-12-04</x:v>
      </x:c>
      <x:c r="M203" t="str">
        <x:v>-176.0</x:v>
      </x:c>
      <x:c r="N203" t="str">
        <x:v>176.0</x:v>
      </x:c>
      <x:c r="O203" t="str">
        <x:v>เช่ายืม</x:v>
      </x:c>
      <x:c r="P203" t="str">
        <x:v>เช่ายืม</x:v>
      </x:c>
      <x:c r="Q203" t="str">
        <x:v>อยู่ระหว่างเช่ายืม / เกินกำหนดคืน 176 วัน</x:v>
      </x:c>
      <x:c r="R203" t="str">
        <x:v>-</x:v>
      </x:c>
      <x:c r="S203" t="str">
        <x:v>203.0</x:v>
      </x:c>
    </x:row>
    <x:row r="204">
      <x:c r="A204" t="str">
        <x:v>R0182</x:v>
      </x:c>
      <x:c r="B204" t="str">
        <x:v>CESR00019</x:v>
      </x:c>
      <x:c r="C204" t="str">
        <x:v>21123050015</x:v>
      </x:c>
      <x:c r="D204" t="str">
        <x:v>BYOND</x:v>
      </x:c>
      <x:c r="E204" t="str">
        <x:v>Sunfusion Semi-2</x:v>
      </x:c>
      <x:c r="F204" t="str">
        <x:v>ศูนย์การแพทย์กาญจนาภิเษก</x:v>
      </x:c>
      <x:c r="G204" t="str">
        <x:v>ศูนย์การแพทย์กาญจนาภิเษก</x:v>
      </x:c>
      <x:c r="H204" t="str">
        <x:v>2025-11-04</x:v>
      </x:c>
      <x:c r="I204" t="str">
        <x:v>1</x:v>
      </x:c>
      <x:c r="J204" t="str">
        <x:v>2025-12-04</x:v>
      </x:c>
      <x:c r="K204"/>
      <x:c r="L204" t="str">
        <x:v>2025-12-04</x:v>
      </x:c>
      <x:c r="M204" t="str">
        <x:v>-176.0</x:v>
      </x:c>
      <x:c r="N204" t="str">
        <x:v>176.0</x:v>
      </x:c>
      <x:c r="O204" t="str">
        <x:v>เช่ายืม</x:v>
      </x:c>
      <x:c r="P204" t="str">
        <x:v>เช่ายืม</x:v>
      </x:c>
      <x:c r="Q204" t="str">
        <x:v>อยู่ระหว่างเช่ายืม / เกินกำหนดคืน 176 วัน</x:v>
      </x:c>
      <x:c r="R204" t="str">
        <x:v>-</x:v>
      </x:c>
      <x:c r="S204" t="str">
        <x:v>204.0</x:v>
      </x:c>
    </x:row>
    <x:row r="205">
      <x:c r="A205" t="str">
        <x:v>R0183</x:v>
      </x:c>
      <x:c r="B205" t="str">
        <x:v>CESR00021</x:v>
      </x:c>
      <x:c r="C205" t="str">
        <x:v>21123050017</x:v>
      </x:c>
      <x:c r="D205" t="str">
        <x:v>BYOND</x:v>
      </x:c>
      <x:c r="E205" t="str">
        <x:v>Sunfusion Semi-2</x:v>
      </x:c>
      <x:c r="F205" t="str">
        <x:v>ศูนย์การแพทย์กาญจนาภิเษก</x:v>
      </x:c>
      <x:c r="G205" t="str">
        <x:v>ศูนย์การแพทย์กาญจนาภิเษก</x:v>
      </x:c>
      <x:c r="H205" t="str">
        <x:v>2025-11-04</x:v>
      </x:c>
      <x:c r="I205" t="str">
        <x:v>1</x:v>
      </x:c>
      <x:c r="J205" t="str">
        <x:v>2025-12-04</x:v>
      </x:c>
      <x:c r="K205"/>
      <x:c r="L205" t="str">
        <x:v>2025-12-04</x:v>
      </x:c>
      <x:c r="M205" t="str">
        <x:v>-176.0</x:v>
      </x:c>
      <x:c r="N205" t="str">
        <x:v>176.0</x:v>
      </x:c>
      <x:c r="O205" t="str">
        <x:v>เช่ายืม</x:v>
      </x:c>
      <x:c r="P205" t="str">
        <x:v>เช่ายืม</x:v>
      </x:c>
      <x:c r="Q205" t="str">
        <x:v>อยู่ระหว่างเช่ายืม / เกินกำหนดคืน 176 วัน</x:v>
      </x:c>
      <x:c r="R205"/>
      <x:c r="S205" t="str">
        <x:v>205.0</x:v>
      </x:c>
    </x:row>
    <x:row r="206">
      <x:c r="A206" t="str">
        <x:v>R0184</x:v>
      </x:c>
      <x:c r="B206" t="str">
        <x:v>CESR00013</x:v>
      </x:c>
      <x:c r="C206" t="str">
        <x:v>21123050017</x:v>
      </x:c>
      <x:c r="D206" t="str">
        <x:v>BYOND</x:v>
      </x:c>
      <x:c r="E206" t="str">
        <x:v>Sunfusion Semi-2</x:v>
      </x:c>
      <x:c r="F206" t="str">
        <x:v>ศูนย์การแพทย์กาญจนาภิเษก</x:v>
      </x:c>
      <x:c r="G206" t="str">
        <x:v>ศูนย์การแพทย์กาญจนาภิเษก</x:v>
      </x:c>
      <x:c r="H206" t="str">
        <x:v>2025-11-04</x:v>
      </x:c>
      <x:c r="I206" t="str">
        <x:v>1</x:v>
      </x:c>
      <x:c r="J206" t="str">
        <x:v>2025-12-04</x:v>
      </x:c>
      <x:c r="K206" t="str">
        <x:v>46171.0</x:v>
      </x:c>
      <x:c r="L206" t="str">
        <x:v>2025-12-04</x:v>
      </x:c>
      <x:c r="M206" t="str">
        <x:v>-176.0</x:v>
      </x:c>
      <x:c r="N206" t="str">
        <x:v>176.0</x:v>
      </x:c>
      <x:c r="O206" t="str">
        <x:v>คืนแล้ว</x:v>
      </x:c>
      <x:c r="P206" t="str">
        <x:v>รอสอบเทียบ</x:v>
      </x:c>
      <x:c r="Q206" t="str">
        <x:v>Returned</x:v>
      </x:c>
      <x:c r="R206" t="str">
        <x:v>Return from web</x:v>
      </x:c>
      <x:c r="S206" t="str">
        <x:v>206.0</x:v>
      </x:c>
    </x:row>
    <x:row r="207">
      <x:c r="A207" t="str">
        <x:v>R0185</x:v>
      </x:c>
      <x:c r="B207" t="str">
        <x:v>CESR00007</x:v>
      </x:c>
      <x:c r="C207" t="str">
        <x:v>21123050002</x:v>
      </x:c>
      <x:c r="D207" t="str">
        <x:v>BYOND</x:v>
      </x:c>
      <x:c r="E207" t="str">
        <x:v>Sunfusion Semi-2</x:v>
      </x:c>
      <x:c r="F207" t="str">
        <x:v>ศูนย์การแพทย์กาญจนาภิเษก</x:v>
      </x:c>
      <x:c r="G207" t="str">
        <x:v>ศูนย์การแพทย์กาญจนาภิเษก</x:v>
      </x:c>
      <x:c r="H207" t="str">
        <x:v>2025-11-04</x:v>
      </x:c>
      <x:c r="I207" t="str">
        <x:v>1</x:v>
      </x:c>
      <x:c r="J207" t="str">
        <x:v>2025-12-04</x:v>
      </x:c>
      <x:c r="K207"/>
      <x:c r="L207" t="str">
        <x:v>2025-12-04</x:v>
      </x:c>
      <x:c r="M207" t="str">
        <x:v>-176.0</x:v>
      </x:c>
      <x:c r="N207" t="str">
        <x:v>176.0</x:v>
      </x:c>
      <x:c r="O207" t="str">
        <x:v>เช่ายืม</x:v>
      </x:c>
      <x:c r="P207" t="str">
        <x:v>เช่ายืม</x:v>
      </x:c>
      <x:c r="Q207" t="str">
        <x:v>อยู่ระหว่างเช่ายืม / เกินกำหนดคืน 176 วัน</x:v>
      </x:c>
      <x:c r="R207" t="str">
        <x:v>-</x:v>
      </x:c>
      <x:c r="S207" t="str">
        <x:v>207.0</x:v>
      </x:c>
    </x:row>
    <x:row r="208">
      <x:c r="A208" t="str">
        <x:v>R0186</x:v>
      </x:c>
      <x:c r="B208" t="str">
        <x:v>CESR00004</x:v>
      </x:c>
      <x:c r="C208" t="str">
        <x:v>21123030199</x:v>
      </x:c>
      <x:c r="D208" t="str">
        <x:v>BYOND</x:v>
      </x:c>
      <x:c r="E208" t="str">
        <x:v>Sunfusion Semi-2</x:v>
      </x:c>
      <x:c r="F208" t="str">
        <x:v>ศูนย์การแพทย์กาญจนาภิเษก</x:v>
      </x:c>
      <x:c r="G208" t="str">
        <x:v>ศูนย์การแพทย์กาญจนาภิเษก</x:v>
      </x:c>
      <x:c r="H208" t="str">
        <x:v>2025-11-04</x:v>
      </x:c>
      <x:c r="I208" t="str">
        <x:v>1</x:v>
      </x:c>
      <x:c r="J208" t="str">
        <x:v>2025-12-04</x:v>
      </x:c>
      <x:c r="K208"/>
      <x:c r="L208" t="str">
        <x:v>2025-12-04</x:v>
      </x:c>
      <x:c r="M208" t="str">
        <x:v>-176.0</x:v>
      </x:c>
      <x:c r="N208" t="str">
        <x:v>176.0</x:v>
      </x:c>
      <x:c r="O208" t="str">
        <x:v>เช่ายืม</x:v>
      </x:c>
      <x:c r="P208" t="str">
        <x:v>เช่ายืม</x:v>
      </x:c>
      <x:c r="Q208" t="str">
        <x:v>อยู่ระหว่างเช่ายืม / เกินกำหนดคืน 176 วัน</x:v>
      </x:c>
      <x:c r="R208" t="str">
        <x:v>-</x:v>
      </x:c>
      <x:c r="S208" t="str">
        <x:v>208.0</x:v>
      </x:c>
    </x:row>
    <x:row r="209">
      <x:c r="A209" t="str">
        <x:v>R0187</x:v>
      </x:c>
      <x:c r="B209" t="str">
        <x:v>CESR00001</x:v>
      </x:c>
      <x:c r="C209" t="str">
        <x:v>21123030196</x:v>
      </x:c>
      <x:c r="D209" t="str">
        <x:v>BYOND</x:v>
      </x:c>
      <x:c r="E209" t="str">
        <x:v>Sunfusion Semi-2</x:v>
      </x:c>
      <x:c r="F209" t="str">
        <x:v>ศูนย์การแพทย์กาญจนาภิเษก</x:v>
      </x:c>
      <x:c r="G209" t="str">
        <x:v>ศูนย์การแพทย์กาญจนาภิเษก</x:v>
      </x:c>
      <x:c r="H209" t="str">
        <x:v>2025-11-04</x:v>
      </x:c>
      <x:c r="I209" t="str">
        <x:v>1</x:v>
      </x:c>
      <x:c r="J209" t="str">
        <x:v>2025-12-04</x:v>
      </x:c>
      <x:c r="K209"/>
      <x:c r="L209" t="str">
        <x:v>2025-12-04</x:v>
      </x:c>
      <x:c r="M209" t="str">
        <x:v>-176.0</x:v>
      </x:c>
      <x:c r="N209" t="str">
        <x:v>176.0</x:v>
      </x:c>
      <x:c r="O209" t="str">
        <x:v>เช่ายืม</x:v>
      </x:c>
      <x:c r="P209" t="str">
        <x:v>เช่ายืม</x:v>
      </x:c>
      <x:c r="Q209" t="str">
        <x:v>อยู่ระหว่างเช่ายืม / เกินกำหนดคืน 176 วัน</x:v>
      </x:c>
      <x:c r="R209" t="str">
        <x:v>-</x:v>
      </x:c>
      <x:c r="S209" t="str">
        <x:v>209.0</x:v>
      </x:c>
    </x:row>
    <x:row r="210">
      <x:c r="A210" t="str">
        <x:v>R0188</x:v>
      </x:c>
      <x:c r="B210" t="str">
        <x:v>CESR00031</x:v>
      </x:c>
      <x:c r="C210" t="str">
        <x:v>21123050030</x:v>
      </x:c>
      <x:c r="D210" t="str">
        <x:v>BYOND</x:v>
      </x:c>
      <x:c r="E210" t="str">
        <x:v>Sunfusion Semi-2</x:v>
      </x:c>
      <x:c r="F210" t="str">
        <x:v>ศูนย์การแพทย์กาญจนาภิเษก</x:v>
      </x:c>
      <x:c r="G210" t="str">
        <x:v>ศูนย์การแพทย์กาญจนาภิเษก</x:v>
      </x:c>
      <x:c r="H210" t="str">
        <x:v>2025-11-04</x:v>
      </x:c>
      <x:c r="I210" t="str">
        <x:v>1</x:v>
      </x:c>
      <x:c r="J210" t="str">
        <x:v>2025-12-04</x:v>
      </x:c>
      <x:c r="K210"/>
      <x:c r="L210" t="str">
        <x:v>2025-12-04</x:v>
      </x:c>
      <x:c r="M210" t="str">
        <x:v>-176.0</x:v>
      </x:c>
      <x:c r="N210" t="str">
        <x:v>176.0</x:v>
      </x:c>
      <x:c r="O210" t="str">
        <x:v>เช่ายืม</x:v>
      </x:c>
      <x:c r="P210" t="str">
        <x:v>เช่ายืม</x:v>
      </x:c>
      <x:c r="Q210" t="str">
        <x:v>อยู่ระหว่างเช่ายืม / เกินกำหนดคืน 176 วัน</x:v>
      </x:c>
      <x:c r="R210" t="str">
        <x:v>-</x:v>
      </x:c>
      <x:c r="S210" t="str">
        <x:v>210.0</x:v>
      </x:c>
    </x:row>
    <x:row r="211">
      <x:c r="A211" t="str">
        <x:v>R0189</x:v>
      </x:c>
      <x:c r="B211" t="str">
        <x:v>CESR00032</x:v>
      </x:c>
      <x:c r="C211" t="str">
        <x:v>21123050031</x:v>
      </x:c>
      <x:c r="D211" t="str">
        <x:v>BYOND</x:v>
      </x:c>
      <x:c r="E211" t="str">
        <x:v>Sunfusion Semi-2</x:v>
      </x:c>
      <x:c r="F211" t="str">
        <x:v>ศูนย์การแพทย์กาญจนาภิเษก</x:v>
      </x:c>
      <x:c r="G211" t="str">
        <x:v>ศูนย์การแพทย์กาญจนาภิเษก</x:v>
      </x:c>
      <x:c r="H211" t="str">
        <x:v>2025-11-04</x:v>
      </x:c>
      <x:c r="I211" t="str">
        <x:v>1</x:v>
      </x:c>
      <x:c r="J211" t="str">
        <x:v>2025-12-04</x:v>
      </x:c>
      <x:c r="K211"/>
      <x:c r="L211" t="str">
        <x:v>2025-12-04</x:v>
      </x:c>
      <x:c r="M211" t="str">
        <x:v>-176.0</x:v>
      </x:c>
      <x:c r="N211" t="str">
        <x:v>176.0</x:v>
      </x:c>
      <x:c r="O211" t="str">
        <x:v>เช่ายืม</x:v>
      </x:c>
      <x:c r="P211" t="str">
        <x:v>เช่ายืม</x:v>
      </x:c>
      <x:c r="Q211" t="str">
        <x:v>อยู่ระหว่างเช่ายืม / เกินกำหนดคืน 176 วัน</x:v>
      </x:c>
      <x:c r="R211" t="str">
        <x:v>-</x:v>
      </x:c>
      <x:c r="S211" t="str">
        <x:v>211.0</x:v>
      </x:c>
    </x:row>
    <x:row r="212">
      <x:c r="A212" t="str">
        <x:v>R0190</x:v>
      </x:c>
      <x:c r="B212" t="str">
        <x:v>CESR00025</x:v>
      </x:c>
      <x:c r="C212" t="str">
        <x:v>21123050021</x:v>
      </x:c>
      <x:c r="D212" t="str">
        <x:v>BYOND</x:v>
      </x:c>
      <x:c r="E212" t="str">
        <x:v>Sunfusion Semi-2</x:v>
      </x:c>
      <x:c r="F212" t="str">
        <x:v>ศูนย์การแพทย์กาญจนาภิเษก</x:v>
      </x:c>
      <x:c r="G212" t="str">
        <x:v>ศูนย์การแพทย์กาญจนาภิเษก</x:v>
      </x:c>
      <x:c r="H212" t="str">
        <x:v>2025-11-04</x:v>
      </x:c>
      <x:c r="I212" t="str">
        <x:v>1</x:v>
      </x:c>
      <x:c r="J212" t="str">
        <x:v>2025-12-04</x:v>
      </x:c>
      <x:c r="K212"/>
      <x:c r="L212" t="str">
        <x:v>2025-12-04</x:v>
      </x:c>
      <x:c r="M212" t="str">
        <x:v>-176.0</x:v>
      </x:c>
      <x:c r="N212" t="str">
        <x:v>176.0</x:v>
      </x:c>
      <x:c r="O212" t="str">
        <x:v>เช่ายืม</x:v>
      </x:c>
      <x:c r="P212" t="str">
        <x:v>เช่ายืม</x:v>
      </x:c>
      <x:c r="Q212" t="str">
        <x:v>อยู่ระหว่างเช่ายืม / เกินกำหนดคืน 176 วัน</x:v>
      </x:c>
      <x:c r="R212" t="str">
        <x:v>-</x:v>
      </x:c>
      <x:c r="S212" t="str">
        <x:v>212.0</x:v>
      </x:c>
    </x:row>
    <x:row r="213">
      <x:c r="A213" t="str">
        <x:v>R0191</x:v>
      </x:c>
      <x:c r="B213" t="str">
        <x:v>CESR00029</x:v>
      </x:c>
      <x:c r="C213" t="str">
        <x:v>21123050025</x:v>
      </x:c>
      <x:c r="D213" t="str">
        <x:v>BYOND</x:v>
      </x:c>
      <x:c r="E213" t="str">
        <x:v>Sunfusion Semi-2</x:v>
      </x:c>
      <x:c r="F213" t="str">
        <x:v>ศูนย์การแพทย์กาญจนาภิเษก</x:v>
      </x:c>
      <x:c r="G213" t="str">
        <x:v>ศูนย์การแพทย์กาญจนาภิเษก</x:v>
      </x:c>
      <x:c r="H213" t="str">
        <x:v>2025-11-04</x:v>
      </x:c>
      <x:c r="I213" t="str">
        <x:v>1</x:v>
      </x:c>
      <x:c r="J213" t="str">
        <x:v>2025-12-04</x:v>
      </x:c>
      <x:c r="K213"/>
      <x:c r="L213" t="str">
        <x:v>2025-12-04</x:v>
      </x:c>
      <x:c r="M213" t="str">
        <x:v>-176.0</x:v>
      </x:c>
      <x:c r="N213" t="str">
        <x:v>176.0</x:v>
      </x:c>
      <x:c r="O213" t="str">
        <x:v>เช่ายืม</x:v>
      </x:c>
      <x:c r="P213" t="str">
        <x:v>เช่ายืม</x:v>
      </x:c>
      <x:c r="Q213" t="str">
        <x:v>อยู่ระหว่างเช่ายืม / เกินกำหนดคืน 176 วัน</x:v>
      </x:c>
      <x:c r="R213" t="str">
        <x:v>-</x:v>
      </x:c>
      <x:c r="S213" t="str">
        <x:v>213.0</x:v>
      </x:c>
    </x:row>
    <x:row r="214">
      <x:c r="A214" t="str">
        <x:v>R0192</x:v>
      </x:c>
      <x:c r="B214" t="str">
        <x:v>CESR00017</x:v>
      </x:c>
      <x:c r="C214" t="str">
        <x:v>21123050013</x:v>
      </x:c>
      <x:c r="D214" t="str">
        <x:v>BYOND</x:v>
      </x:c>
      <x:c r="E214" t="str">
        <x:v>Sunfusion Semi-2</x:v>
      </x:c>
      <x:c r="F214" t="str">
        <x:v>ศูนย์การแพทย์กาญจนาภิเษก</x:v>
      </x:c>
      <x:c r="G214" t="str">
        <x:v>ศูนย์การแพทย์กาญจนาภิเษก</x:v>
      </x:c>
      <x:c r="H214" t="str">
        <x:v>2025-11-04</x:v>
      </x:c>
      <x:c r="I214" t="str">
        <x:v>1</x:v>
      </x:c>
      <x:c r="J214" t="str">
        <x:v>2025-12-04</x:v>
      </x:c>
      <x:c r="K214"/>
      <x:c r="L214" t="str">
        <x:v>2025-12-04</x:v>
      </x:c>
      <x:c r="M214" t="str">
        <x:v>-176.0</x:v>
      </x:c>
      <x:c r="N214" t="str">
        <x:v>176.0</x:v>
      </x:c>
      <x:c r="O214" t="str">
        <x:v>เช่ายืม</x:v>
      </x:c>
      <x:c r="P214" t="str">
        <x:v>เช่ายืม</x:v>
      </x:c>
      <x:c r="Q214" t="str">
        <x:v>อยู่ระหว่างเช่ายืม / เกินกำหนดคืน 176 วัน</x:v>
      </x:c>
      <x:c r="R214" t="str">
        <x:v>-</x:v>
      </x:c>
      <x:c r="S214" t="str">
        <x:v>214.0</x:v>
      </x:c>
    </x:row>
    <x:row r="215">
      <x:c r="A215" t="str">
        <x:v>R0193</x:v>
      </x:c>
      <x:c r="B215" t="str">
        <x:v>CESR00034</x:v>
      </x:c>
      <x:c r="C215" t="str">
        <x:v>21123050034</x:v>
      </x:c>
      <x:c r="D215" t="str">
        <x:v>BYOND</x:v>
      </x:c>
      <x:c r="E215" t="str">
        <x:v>Sunfusion Semi-2</x:v>
      </x:c>
      <x:c r="F215" t="str">
        <x:v>ศูนย์การแพทย์กาญจนาภิเษก</x:v>
      </x:c>
      <x:c r="G215" t="str">
        <x:v>ศูนย์การแพทย์กาญจนาภิเษก</x:v>
      </x:c>
      <x:c r="H215" t="str">
        <x:v>2025-11-04</x:v>
      </x:c>
      <x:c r="I215" t="str">
        <x:v>1</x:v>
      </x:c>
      <x:c r="J215" t="str">
        <x:v>2025-12-04</x:v>
      </x:c>
      <x:c r="K215"/>
      <x:c r="L215" t="str">
        <x:v>2025-12-04</x:v>
      </x:c>
      <x:c r="M215" t="str">
        <x:v>-176.0</x:v>
      </x:c>
      <x:c r="N215" t="str">
        <x:v>176.0</x:v>
      </x:c>
      <x:c r="O215" t="str">
        <x:v>เช่ายืม</x:v>
      </x:c>
      <x:c r="P215" t="str">
        <x:v>เช่ายืม</x:v>
      </x:c>
      <x:c r="Q215" t="str">
        <x:v>อยู่ระหว่างเช่ายืม / เกินกำหนดคืน 176 วัน</x:v>
      </x:c>
      <x:c r="R215" t="str">
        <x:v>-</x:v>
      </x:c>
      <x:c r="S215" t="str">
        <x:v>215.0</x:v>
      </x:c>
    </x:row>
    <x:row r="216">
      <x:c r="A216" t="str">
        <x:v>R0194</x:v>
      </x:c>
      <x:c r="B216" t="str">
        <x:v>CESR00131</x:v>
      </x:c>
      <x:c r="C216" t="str">
        <x:v>21123050148</x:v>
      </x:c>
      <x:c r="D216" t="str">
        <x:v>BYOND</x:v>
      </x:c>
      <x:c r="E216" t="str">
        <x:v>Sunfusion Semi-2</x:v>
      </x:c>
      <x:c r="F216" t="str">
        <x:v>ศูนย์การแพทย์กาญจนาภิเษก</x:v>
      </x:c>
      <x:c r="G216" t="str">
        <x:v>ศูนย์การแพทย์กาญจนาภิเษก</x:v>
      </x:c>
      <x:c r="H216" t="str">
        <x:v>2025-11-04</x:v>
      </x:c>
      <x:c r="I216" t="str">
        <x:v>1</x:v>
      </x:c>
      <x:c r="J216" t="str">
        <x:v>2025-12-04</x:v>
      </x:c>
      <x:c r="K216"/>
      <x:c r="L216" t="str">
        <x:v>2025-12-04</x:v>
      </x:c>
      <x:c r="M216" t="str">
        <x:v>-176.0</x:v>
      </x:c>
      <x:c r="N216" t="str">
        <x:v>176.0</x:v>
      </x:c>
      <x:c r="O216" t="str">
        <x:v>เช่ายืม</x:v>
      </x:c>
      <x:c r="P216" t="str">
        <x:v>เช่ายืม</x:v>
      </x:c>
      <x:c r="Q216" t="str">
        <x:v>อยู่ระหว่างเช่ายืม / เกินกำหนดคืน 176 วัน</x:v>
      </x:c>
      <x:c r="R216"/>
      <x:c r="S216" t="str">
        <x:v>216.0</x:v>
      </x:c>
    </x:row>
    <x:row r="217">
      <x:c r="A217" t="str">
        <x:v>R0195</x:v>
      </x:c>
      <x:c r="B217" t="str">
        <x:v>39480</x:v>
      </x:c>
      <x:c r="C217" t="str">
        <x:v>39480</x:v>
      </x:c>
      <x:c r="D217" t="str">
        <x:v>B.Braun</x:v>
      </x:c>
      <x:c r="E217" t="str">
        <x:v>Spaceplus</x:v>
      </x:c>
      <x:c r="F217" t="str">
        <x:v>โรงพยาบาลกรุงเทพ หัวหิน</x:v>
      </x:c>
      <x:c r="G217" t="str">
        <x:v>โรงพยาบาลกรุงเทพ หัวหิน</x:v>
      </x:c>
      <x:c r="H217" t="str">
        <x:v>2025-12-17</x:v>
      </x:c>
      <x:c r="I217" t="str">
        <x:v>3</x:v>
      </x:c>
      <x:c r="J217" t="str">
        <x:v>2026-03-17</x:v>
      </x:c>
      <x:c r="K217"/>
      <x:c r="L217" t="str">
        <x:v>2026-03-17</x:v>
      </x:c>
      <x:c r="M217" t="str">
        <x:v>-73.0</x:v>
      </x:c>
      <x:c r="N217" t="str">
        <x:v>73.0</x:v>
      </x:c>
      <x:c r="O217" t="str">
        <x:v>เช่ายืม</x:v>
      </x:c>
      <x:c r="P217" t="str">
        <x:v>เช่ายืม</x:v>
      </x:c>
      <x:c r="Q217" t="str">
        <x:v>อยู่ระหว่างเช่ายืม / เกินกำหนดคืน 73 วัน</x:v>
      </x:c>
      <x:c r="R217"/>
      <x:c r="S217" t="str">
        <x:v>217.0</x:v>
      </x:c>
    </x:row>
    <x:row r="218">
      <x:c r="A218" t="str">
        <x:v>R0196</x:v>
      </x:c>
      <x:c r="B218" t="str">
        <x:v>52954</x:v>
      </x:c>
      <x:c r="C218" t="str">
        <x:v>52954</x:v>
      </x:c>
      <x:c r="D218" t="str">
        <x:v>B.Braun</x:v>
      </x:c>
      <x:c r="E218" t="str">
        <x:v>Spaceplus</x:v>
      </x:c>
      <x:c r="F218" t="str">
        <x:v>โรงพยาบาลกรุงเทพ หัวหิน</x:v>
      </x:c>
      <x:c r="G218" t="str">
        <x:v>โรงพยาบาลกรุงเทพ หัวหิน</x:v>
      </x:c>
      <x:c r="H218" t="str">
        <x:v>2025-12-17</x:v>
      </x:c>
      <x:c r="I218" t="str">
        <x:v>3</x:v>
      </x:c>
      <x:c r="J218" t="str">
        <x:v>2026-03-17</x:v>
      </x:c>
      <x:c r="K218"/>
      <x:c r="L218" t="str">
        <x:v>2026-03-17</x:v>
      </x:c>
      <x:c r="M218" t="str">
        <x:v>-73.0</x:v>
      </x:c>
      <x:c r="N218" t="str">
        <x:v>73.0</x:v>
      </x:c>
      <x:c r="O218" t="str">
        <x:v>เช่ายืม</x:v>
      </x:c>
      <x:c r="P218" t="str">
        <x:v>เช่ายืม</x:v>
      </x:c>
      <x:c r="Q218" t="str">
        <x:v>อยู่ระหว่างเช่ายืม / เกินกำหนดคืน 73 วัน</x:v>
      </x:c>
      <x:c r="R218"/>
      <x:c r="S218" t="str">
        <x:v>218.0</x:v>
      </x:c>
    </x:row>
    <x:row r="219">
      <x:c r="A219" t="str">
        <x:v>R0197</x:v>
      </x:c>
      <x:c r="B219" t="str">
        <x:v>39502</x:v>
      </x:c>
      <x:c r="C219" t="str">
        <x:v>39502</x:v>
      </x:c>
      <x:c r="D219" t="str">
        <x:v>B.Braun</x:v>
      </x:c>
      <x:c r="E219" t="str">
        <x:v>Spaceplus</x:v>
      </x:c>
      <x:c r="F219" t="str">
        <x:v>โรงพยาบาลกรุงเทพ หัวหิน</x:v>
      </x:c>
      <x:c r="G219" t="str">
        <x:v>โรงพยาบาลกรุงเทพ หัวหิน</x:v>
      </x:c>
      <x:c r="H219" t="str">
        <x:v>2025-12-17</x:v>
      </x:c>
      <x:c r="I219" t="str">
        <x:v>3</x:v>
      </x:c>
      <x:c r="J219" t="str">
        <x:v>2026-03-17</x:v>
      </x:c>
      <x:c r="K219"/>
      <x:c r="L219" t="str">
        <x:v>2026-03-17</x:v>
      </x:c>
      <x:c r="M219" t="str">
        <x:v>-73.0</x:v>
      </x:c>
      <x:c r="N219" t="str">
        <x:v>73.0</x:v>
      </x:c>
      <x:c r="O219" t="str">
        <x:v>เช่ายืม</x:v>
      </x:c>
      <x:c r="P219" t="str">
        <x:v>เช่ายืม</x:v>
      </x:c>
      <x:c r="Q219" t="str">
        <x:v>อยู่ระหว่างเช่ายืม / เกินกำหนดคืน 73 วัน</x:v>
      </x:c>
      <x:c r="R219"/>
      <x:c r="S219" t="str">
        <x:v>219.0</x:v>
      </x:c>
    </x:row>
    <x:row r="220">
      <x:c r="A220" t="str">
        <x:v>R0198</x:v>
      </x:c>
      <x:c r="B220" t="str">
        <x:v>31223</x:v>
      </x:c>
      <x:c r="C220" t="str">
        <x:v>31223</x:v>
      </x:c>
      <x:c r="D220" t="str">
        <x:v>B.Braun</x:v>
      </x:c>
      <x:c r="E220" t="str">
        <x:v>Spaceplus</x:v>
      </x:c>
      <x:c r="F220" t="str">
        <x:v>โรงพยาบาลกรุงเทพ หัวหิน</x:v>
      </x:c>
      <x:c r="G220" t="str">
        <x:v>โรงพยาบาลกรุงเทพ หัวหิน</x:v>
      </x:c>
      <x:c r="H220" t="str">
        <x:v>2025-12-17</x:v>
      </x:c>
      <x:c r="I220" t="str">
        <x:v>3</x:v>
      </x:c>
      <x:c r="J220" t="str">
        <x:v>2026-03-17</x:v>
      </x:c>
      <x:c r="K220"/>
      <x:c r="L220" t="str">
        <x:v>2026-03-17</x:v>
      </x:c>
      <x:c r="M220" t="str">
        <x:v>-73.0</x:v>
      </x:c>
      <x:c r="N220" t="str">
        <x:v>73.0</x:v>
      </x:c>
      <x:c r="O220" t="str">
        <x:v>เช่ายืม</x:v>
      </x:c>
      <x:c r="P220" t="str">
        <x:v>เช่ายืม</x:v>
      </x:c>
      <x:c r="Q220" t="str">
        <x:v>อยู่ระหว่างเช่ายืม / เกินกำหนดคืน 73 วัน</x:v>
      </x:c>
      <x:c r="R220"/>
      <x:c r="S220" t="str">
        <x:v>220.0</x:v>
      </x:c>
    </x:row>
    <x:row r="221">
      <x:c r="A221" t="str">
        <x:v>R0199</x:v>
      </x:c>
      <x:c r="B221" t="str">
        <x:v>52887</x:v>
      </x:c>
      <x:c r="C221" t="str">
        <x:v>52887</x:v>
      </x:c>
      <x:c r="D221" t="str">
        <x:v>B.Braun</x:v>
      </x:c>
      <x:c r="E221" t="str">
        <x:v>Spaceplus</x:v>
      </x:c>
      <x:c r="F221" t="str">
        <x:v>โรงพยาบาลกรุงเทพ หัวหิน</x:v>
      </x:c>
      <x:c r="G221" t="str">
        <x:v>โรงพยาบาลกรุงเทพ หัวหิน</x:v>
      </x:c>
      <x:c r="H221" t="str">
        <x:v>2025-12-17</x:v>
      </x:c>
      <x:c r="I221" t="str">
        <x:v>3</x:v>
      </x:c>
      <x:c r="J221" t="str">
        <x:v>2026-03-17</x:v>
      </x:c>
      <x:c r="K221"/>
      <x:c r="L221" t="str">
        <x:v>2026-03-17</x:v>
      </x:c>
      <x:c r="M221" t="str">
        <x:v>-73.0</x:v>
      </x:c>
      <x:c r="N221" t="str">
        <x:v>73.0</x:v>
      </x:c>
      <x:c r="O221" t="str">
        <x:v>เช่ายืม</x:v>
      </x:c>
      <x:c r="P221" t="str">
        <x:v>เช่ายืม</x:v>
      </x:c>
      <x:c r="Q221" t="str">
        <x:v>อยู่ระหว่างเช่ายืม / เกินกำหนดคืน 73 วัน</x:v>
      </x:c>
      <x:c r="R221"/>
      <x:c r="S221" t="str">
        <x:v>221.0</x:v>
      </x:c>
    </x:row>
    <x:row r="222">
      <x:c r="A222" t="str">
        <x:v>R0200</x:v>
      </x:c>
      <x:c r="B222" t="str">
        <x:v>39498</x:v>
      </x:c>
      <x:c r="C222" t="str">
        <x:v>39498</x:v>
      </x:c>
      <x:c r="D222" t="str">
        <x:v>B.Braun</x:v>
      </x:c>
      <x:c r="E222" t="str">
        <x:v>Spaceplus</x:v>
      </x:c>
      <x:c r="F222" t="str">
        <x:v>โรงพยาบาลกรุงเทพ หัวหิน</x:v>
      </x:c>
      <x:c r="G222" t="str">
        <x:v>โรงพยาบาลกรุงเทพ หัวหิน</x:v>
      </x:c>
      <x:c r="H222" t="str">
        <x:v>2025-12-17</x:v>
      </x:c>
      <x:c r="I222" t="str">
        <x:v>3</x:v>
      </x:c>
      <x:c r="J222" t="str">
        <x:v>2026-03-17</x:v>
      </x:c>
      <x:c r="K222"/>
      <x:c r="L222" t="str">
        <x:v>2026-03-17</x:v>
      </x:c>
      <x:c r="M222" t="str">
        <x:v>-73.0</x:v>
      </x:c>
      <x:c r="N222" t="str">
        <x:v>73.0</x:v>
      </x:c>
      <x:c r="O222" t="str">
        <x:v>เช่ายืม</x:v>
      </x:c>
      <x:c r="P222" t="str">
        <x:v>เช่ายืม</x:v>
      </x:c>
      <x:c r="Q222" t="str">
        <x:v>อยู่ระหว่างเช่ายืม / เกินกำหนดคืน 73 วัน</x:v>
      </x:c>
      <x:c r="R222"/>
      <x:c r="S222" t="str">
        <x:v>222.0</x:v>
      </x:c>
    </x:row>
    <x:row r="223">
      <x:c r="A223" t="str">
        <x:v>R0201</x:v>
      </x:c>
      <x:c r="B223" t="str">
        <x:v>39477</x:v>
      </x:c>
      <x:c r="C223" t="str">
        <x:v>39477</x:v>
      </x:c>
      <x:c r="D223" t="str">
        <x:v>B.Braun</x:v>
      </x:c>
      <x:c r="E223" t="str">
        <x:v>Spaceplus</x:v>
      </x:c>
      <x:c r="F223" t="str">
        <x:v>โรงพยาบาลกรุงเทพ หัวหิน</x:v>
      </x:c>
      <x:c r="G223" t="str">
        <x:v>โรงพยาบาลกรุงเทพ หัวหิน</x:v>
      </x:c>
      <x:c r="H223" t="str">
        <x:v>2025-12-17</x:v>
      </x:c>
      <x:c r="I223" t="str">
        <x:v>3</x:v>
      </x:c>
      <x:c r="J223" t="str">
        <x:v>2026-03-17</x:v>
      </x:c>
      <x:c r="K223"/>
      <x:c r="L223" t="str">
        <x:v>2026-03-17</x:v>
      </x:c>
      <x:c r="M223" t="str">
        <x:v>-73.0</x:v>
      </x:c>
      <x:c r="N223" t="str">
        <x:v>73.0</x:v>
      </x:c>
      <x:c r="O223" t="str">
        <x:v>เช่ายืม</x:v>
      </x:c>
      <x:c r="P223" t="str">
        <x:v>เช่ายืม</x:v>
      </x:c>
      <x:c r="Q223" t="str">
        <x:v>อยู่ระหว่างเช่ายืม / เกินกำหนดคืน 73 วัน</x:v>
      </x:c>
      <x:c r="R223"/>
      <x:c r="S223" t="str">
        <x:v>223.0</x:v>
      </x:c>
    </x:row>
    <x:row r="224">
      <x:c r="A224" t="str">
        <x:v>R0202</x:v>
      </x:c>
      <x:c r="B224" t="str">
        <x:v>39320</x:v>
      </x:c>
      <x:c r="C224" t="str">
        <x:v>39320</x:v>
      </x:c>
      <x:c r="D224" t="str">
        <x:v>B.Braun</x:v>
      </x:c>
      <x:c r="E224" t="str">
        <x:v>Spaceplus</x:v>
      </x:c>
      <x:c r="F224" t="str">
        <x:v>โรงพยาบาลกรุงเทพ หัวหิน</x:v>
      </x:c>
      <x:c r="G224" t="str">
        <x:v>โรงพยาบาลกรุงเทพ หัวหิน</x:v>
      </x:c>
      <x:c r="H224" t="str">
        <x:v>2025-12-17</x:v>
      </x:c>
      <x:c r="I224" t="str">
        <x:v>3</x:v>
      </x:c>
      <x:c r="J224" t="str">
        <x:v>2026-03-17</x:v>
      </x:c>
      <x:c r="K224"/>
      <x:c r="L224" t="str">
        <x:v>2026-03-17</x:v>
      </x:c>
      <x:c r="M224" t="str">
        <x:v>-73.0</x:v>
      </x:c>
      <x:c r="N224" t="str">
        <x:v>73.0</x:v>
      </x:c>
      <x:c r="O224" t="str">
        <x:v>เช่ายืม</x:v>
      </x:c>
      <x:c r="P224" t="str">
        <x:v>เช่ายืม</x:v>
      </x:c>
      <x:c r="Q224" t="str">
        <x:v>อยู่ระหว่างเช่ายืม / เกินกำหนดคืน 73 วัน</x:v>
      </x:c>
      <x:c r="R224"/>
      <x:c r="S224" t="str">
        <x:v>224.0</x:v>
      </x:c>
    </x:row>
    <x:row r="225">
      <x:c r="A225" t="str">
        <x:v>R0203</x:v>
      </x:c>
      <x:c r="B225" t="str">
        <x:v>31329</x:v>
      </x:c>
      <x:c r="C225" t="str">
        <x:v>31329</x:v>
      </x:c>
      <x:c r="D225" t="str">
        <x:v>B.Braun</x:v>
      </x:c>
      <x:c r="E225" t="str">
        <x:v>Spaceplus</x:v>
      </x:c>
      <x:c r="F225" t="str">
        <x:v>โรงพยาบาลกรุงเทพ หัวหิน</x:v>
      </x:c>
      <x:c r="G225" t="str">
        <x:v>โรงพยาบาลกรุงเทพ หัวหิน</x:v>
      </x:c>
      <x:c r="H225" t="str">
        <x:v>2025-12-17</x:v>
      </x:c>
      <x:c r="I225" t="str">
        <x:v>3</x:v>
      </x:c>
      <x:c r="J225" t="str">
        <x:v>2026-03-17</x:v>
      </x:c>
      <x:c r="K225"/>
      <x:c r="L225" t="str">
        <x:v>2026-03-17</x:v>
      </x:c>
      <x:c r="M225" t="str">
        <x:v>-73.0</x:v>
      </x:c>
      <x:c r="N225" t="str">
        <x:v>73.0</x:v>
      </x:c>
      <x:c r="O225" t="str">
        <x:v>เช่ายืม</x:v>
      </x:c>
      <x:c r="P225" t="str">
        <x:v>เช่ายืม</x:v>
      </x:c>
      <x:c r="Q225" t="str">
        <x:v>อยู่ระหว่างเช่ายืม / เกินกำหนดคืน 73 วัน</x:v>
      </x:c>
      <x:c r="R225"/>
      <x:c r="S225" t="str">
        <x:v>225.0</x:v>
      </x:c>
    </x:row>
    <x:row r="226">
      <x:c r="A226" t="str">
        <x:v>R0204</x:v>
      </x:c>
      <x:c r="B226" t="str">
        <x:v>30859</x:v>
      </x:c>
      <x:c r="C226" t="str">
        <x:v>30859</x:v>
      </x:c>
      <x:c r="D226" t="str">
        <x:v>B.Braun</x:v>
      </x:c>
      <x:c r="E226" t="str">
        <x:v>Spaceplus</x:v>
      </x:c>
      <x:c r="F226" t="str">
        <x:v>โรงพยาบาลกรุงเทพ หัวหิน</x:v>
      </x:c>
      <x:c r="G226" t="str">
        <x:v>โรงพยาบาลกรุงเทพ หัวหิน</x:v>
      </x:c>
      <x:c r="H226" t="str">
        <x:v>2025-12-17</x:v>
      </x:c>
      <x:c r="I226" t="str">
        <x:v>3</x:v>
      </x:c>
      <x:c r="J226" t="str">
        <x:v>2026-03-17</x:v>
      </x:c>
      <x:c r="K226"/>
      <x:c r="L226" t="str">
        <x:v>2026-03-17</x:v>
      </x:c>
      <x:c r="M226" t="str">
        <x:v>-73.0</x:v>
      </x:c>
      <x:c r="N226" t="str">
        <x:v>73.0</x:v>
      </x:c>
      <x:c r="O226" t="str">
        <x:v>เช่ายืม</x:v>
      </x:c>
      <x:c r="P226" t="str">
        <x:v>เช่ายืม</x:v>
      </x:c>
      <x:c r="Q226" t="str">
        <x:v>อยู่ระหว่างเช่ายืม / เกินกำหนดคืน 73 วัน</x:v>
      </x:c>
      <x:c r="R226"/>
      <x:c r="S226" t="str">
        <x:v>226.0</x:v>
      </x:c>
    </x:row>
    <x:row r="227">
      <x:c r="A227" t="str">
        <x:v>R0205</x:v>
      </x:c>
      <x:c r="B227" t="str">
        <x:v>39454</x:v>
      </x:c>
      <x:c r="C227" t="str">
        <x:v>39454</x:v>
      </x:c>
      <x:c r="D227" t="str">
        <x:v>B.Braun</x:v>
      </x:c>
      <x:c r="E227" t="str">
        <x:v>Spaceplus</x:v>
      </x:c>
      <x:c r="F227" t="str">
        <x:v>โรงพยาบาลกรุงเทพ หัวหิน</x:v>
      </x:c>
      <x:c r="G227" t="str">
        <x:v>โรงพยาบาลกรุงเทพ หัวหิน</x:v>
      </x:c>
      <x:c r="H227" t="str">
        <x:v>2025-12-17</x:v>
      </x:c>
      <x:c r="I227" t="str">
        <x:v>3</x:v>
      </x:c>
      <x:c r="J227" t="str">
        <x:v>2026-03-17</x:v>
      </x:c>
      <x:c r="K227"/>
      <x:c r="L227" t="str">
        <x:v>2026-03-17</x:v>
      </x:c>
      <x:c r="M227" t="str">
        <x:v>-73.0</x:v>
      </x:c>
      <x:c r="N227" t="str">
        <x:v>73.0</x:v>
      </x:c>
      <x:c r="O227" t="str">
        <x:v>เช่ายืม</x:v>
      </x:c>
      <x:c r="P227" t="str">
        <x:v>เช่ายืม</x:v>
      </x:c>
      <x:c r="Q227" t="str">
        <x:v>อยู่ระหว่างเช่ายืม / เกินกำหนดคืน 73 วัน</x:v>
      </x:c>
      <x:c r="R227"/>
      <x:c r="S227" t="str">
        <x:v>227.0</x:v>
      </x:c>
    </x:row>
    <x:row r="228">
      <x:c r="A228" t="str">
        <x:v>R0206</x:v>
      </x:c>
      <x:c r="B228" t="str">
        <x:v>39462</x:v>
      </x:c>
      <x:c r="C228" t="str">
        <x:v>39462</x:v>
      </x:c>
      <x:c r="D228" t="str">
        <x:v>B.Braun</x:v>
      </x:c>
      <x:c r="E228" t="str">
        <x:v>Spaceplus</x:v>
      </x:c>
      <x:c r="F228" t="str">
        <x:v>โรงพยาบาลกรุงเทพ หัวหิน</x:v>
      </x:c>
      <x:c r="G228" t="str">
        <x:v>โรงพยาบาลกรุงเทพ หัวหิน</x:v>
      </x:c>
      <x:c r="H228" t="str">
        <x:v>2025-12-17</x:v>
      </x:c>
      <x:c r="I228" t="str">
        <x:v>3</x:v>
      </x:c>
      <x:c r="J228" t="str">
        <x:v>2026-03-17</x:v>
      </x:c>
      <x:c r="K228"/>
      <x:c r="L228" t="str">
        <x:v>2026-03-17</x:v>
      </x:c>
      <x:c r="M228" t="str">
        <x:v>-73.0</x:v>
      </x:c>
      <x:c r="N228" t="str">
        <x:v>73.0</x:v>
      </x:c>
      <x:c r="O228" t="str">
        <x:v>เช่ายืม</x:v>
      </x:c>
      <x:c r="P228" t="str">
        <x:v>เช่ายืม</x:v>
      </x:c>
      <x:c r="Q228" t="str">
        <x:v>อยู่ระหว่างเช่ายืม / เกินกำหนดคืน 73 วัน</x:v>
      </x:c>
      <x:c r="R228"/>
      <x:c r="S228" t="str">
        <x:v>228.0</x:v>
      </x:c>
    </x:row>
    <x:row r="229">
      <x:c r="A229" t="str">
        <x:v>R0207</x:v>
      </x:c>
      <x:c r="B229" t="str">
        <x:v>52885</x:v>
      </x:c>
      <x:c r="C229" t="str">
        <x:v>52885</x:v>
      </x:c>
      <x:c r="D229" t="str">
        <x:v>B.Braun</x:v>
      </x:c>
      <x:c r="E229" t="str">
        <x:v>Spaceplus</x:v>
      </x:c>
      <x:c r="F229" t="str">
        <x:v>โรงพยาบาลกรุงเทพ หัวหิน</x:v>
      </x:c>
      <x:c r="G229" t="str">
        <x:v>โรงพยาบาลกรุงเทพ หัวหิน</x:v>
      </x:c>
      <x:c r="H229" t="str">
        <x:v>2025-12-17</x:v>
      </x:c>
      <x:c r="I229" t="str">
        <x:v>3</x:v>
      </x:c>
      <x:c r="J229" t="str">
        <x:v>2026-03-17</x:v>
      </x:c>
      <x:c r="K229"/>
      <x:c r="L229" t="str">
        <x:v>2026-03-17</x:v>
      </x:c>
      <x:c r="M229" t="str">
        <x:v>-73.0</x:v>
      </x:c>
      <x:c r="N229" t="str">
        <x:v>73.0</x:v>
      </x:c>
      <x:c r="O229" t="str">
        <x:v>เช่ายืม</x:v>
      </x:c>
      <x:c r="P229" t="str">
        <x:v>เช่ายืม</x:v>
      </x:c>
      <x:c r="Q229" t="str">
        <x:v>อยู่ระหว่างเช่ายืม / เกินกำหนดคืน 73 วัน</x:v>
      </x:c>
      <x:c r="R229"/>
      <x:c r="S229" t="str">
        <x:v>229.0</x:v>
      </x:c>
    </x:row>
    <x:row r="230">
      <x:c r="A230" t="str">
        <x:v>R0208</x:v>
      </x:c>
      <x:c r="B230" t="str">
        <x:v>39419</x:v>
      </x:c>
      <x:c r="C230" t="str">
        <x:v>39419</x:v>
      </x:c>
      <x:c r="D230" t="str">
        <x:v>B.Braun</x:v>
      </x:c>
      <x:c r="E230" t="str">
        <x:v>Spaceplus</x:v>
      </x:c>
      <x:c r="F230" t="str">
        <x:v>โรงพยาบาลกรุงเทพ หัวหิน</x:v>
      </x:c>
      <x:c r="G230" t="str">
        <x:v>โรงพยาบาลกรุงเทพ หัวหิน</x:v>
      </x:c>
      <x:c r="H230" t="str">
        <x:v>2025-12-17</x:v>
      </x:c>
      <x:c r="I230" t="str">
        <x:v>3</x:v>
      </x:c>
      <x:c r="J230" t="str">
        <x:v>2026-03-17</x:v>
      </x:c>
      <x:c r="K230"/>
      <x:c r="L230" t="str">
        <x:v>2026-03-17</x:v>
      </x:c>
      <x:c r="M230" t="str">
        <x:v>-73.0</x:v>
      </x:c>
      <x:c r="N230" t="str">
        <x:v>73.0</x:v>
      </x:c>
      <x:c r="O230" t="str">
        <x:v>เช่ายืม</x:v>
      </x:c>
      <x:c r="P230" t="str">
        <x:v>เช่ายืม</x:v>
      </x:c>
      <x:c r="Q230" t="str">
        <x:v>อยู่ระหว่างเช่ายืม / เกินกำหนดคืน 73 วัน</x:v>
      </x:c>
      <x:c r="R230"/>
      <x:c r="S230" t="str">
        <x:v>230.0</x:v>
      </x:c>
    </x:row>
    <x:row r="231">
      <x:c r="A231" t="str">
        <x:v>R0209</x:v>
      </x:c>
      <x:c r="B231" t="str">
        <x:v>39450</x:v>
      </x:c>
      <x:c r="C231" t="str">
        <x:v>39450</x:v>
      </x:c>
      <x:c r="D231" t="str">
        <x:v>B.Braun</x:v>
      </x:c>
      <x:c r="E231" t="str">
        <x:v>Spaceplus</x:v>
      </x:c>
      <x:c r="F231" t="str">
        <x:v>โรงพยาบาลกรุงเทพ หัวหิน</x:v>
      </x:c>
      <x:c r="G231" t="str">
        <x:v>โรงพยาบาลกรุงเทพ หัวหิน</x:v>
      </x:c>
      <x:c r="H231" t="str">
        <x:v>2025-12-17</x:v>
      </x:c>
      <x:c r="I231" t="str">
        <x:v>3</x:v>
      </x:c>
      <x:c r="J231" t="str">
        <x:v>2026-03-17</x:v>
      </x:c>
      <x:c r="K231"/>
      <x:c r="L231" t="str">
        <x:v>2026-03-17</x:v>
      </x:c>
      <x:c r="M231" t="str">
        <x:v>-73.0</x:v>
      </x:c>
      <x:c r="N231" t="str">
        <x:v>73.0</x:v>
      </x:c>
      <x:c r="O231" t="str">
        <x:v>เช่ายืม</x:v>
      </x:c>
      <x:c r="P231" t="str">
        <x:v>เช่ายืม</x:v>
      </x:c>
      <x:c r="Q231" t="str">
        <x:v>อยู่ระหว่างเช่ายืม / เกินกำหนดคืน 73 วัน</x:v>
      </x:c>
      <x:c r="R231"/>
      <x:c r="S231" t="str">
        <x:v>231.0</x:v>
      </x:c>
    </x:row>
    <x:row r="232">
      <x:c r="A232" t="str">
        <x:v>R0210</x:v>
      </x:c>
      <x:c r="B232" t="str">
        <x:v>30828</x:v>
      </x:c>
      <x:c r="C232" t="str">
        <x:v>30828</x:v>
      </x:c>
      <x:c r="D232" t="str">
        <x:v>B.Braun</x:v>
      </x:c>
      <x:c r="E232" t="str">
        <x:v>Spaceplus</x:v>
      </x:c>
      <x:c r="F232" t="str">
        <x:v>โรงพยาบาลกรุงเทพ หัวหิน</x:v>
      </x:c>
      <x:c r="G232" t="str">
        <x:v>โรงพยาบาลกรุงเทพ หัวหิน</x:v>
      </x:c>
      <x:c r="H232" t="str">
        <x:v>2025-12-17</x:v>
      </x:c>
      <x:c r="I232" t="str">
        <x:v>3</x:v>
      </x:c>
      <x:c r="J232" t="str">
        <x:v>2026-03-17</x:v>
      </x:c>
      <x:c r="K232"/>
      <x:c r="L232" t="str">
        <x:v>2026-03-17</x:v>
      </x:c>
      <x:c r="M232" t="str">
        <x:v>-73.0</x:v>
      </x:c>
      <x:c r="N232" t="str">
        <x:v>73.0</x:v>
      </x:c>
      <x:c r="O232" t="str">
        <x:v>เช่ายืม</x:v>
      </x:c>
      <x:c r="P232" t="str">
        <x:v>เช่ายืม</x:v>
      </x:c>
      <x:c r="Q232" t="str">
        <x:v>อยู่ระหว่างเช่ายืม / เกินกำหนดคืน 73 วัน</x:v>
      </x:c>
      <x:c r="R232"/>
      <x:c r="S232" t="str">
        <x:v>232.0</x:v>
      </x:c>
    </x:row>
    <x:row r="233">
      <x:c r="A233" t="str">
        <x:v>R0211</x:v>
      </x:c>
      <x:c r="B233" t="str">
        <x:v>52943</x:v>
      </x:c>
      <x:c r="C233" t="str">
        <x:v>52943</x:v>
      </x:c>
      <x:c r="D233" t="str">
        <x:v>B.Braun</x:v>
      </x:c>
      <x:c r="E233" t="str">
        <x:v>Spaceplus</x:v>
      </x:c>
      <x:c r="F233" t="str">
        <x:v>โรงพยาบาลกรุงเทพ หัวหิน</x:v>
      </x:c>
      <x:c r="G233" t="str">
        <x:v>โรงพยาบาลกรุงเทพ หัวหิน</x:v>
      </x:c>
      <x:c r="H233" t="str">
        <x:v>2025-12-17</x:v>
      </x:c>
      <x:c r="I233" t="str">
        <x:v>3</x:v>
      </x:c>
      <x:c r="J233" t="str">
        <x:v>2026-03-17</x:v>
      </x:c>
      <x:c r="K233"/>
      <x:c r="L233" t="str">
        <x:v>2026-03-17</x:v>
      </x:c>
      <x:c r="M233" t="str">
        <x:v>-73.0</x:v>
      </x:c>
      <x:c r="N233" t="str">
        <x:v>73.0</x:v>
      </x:c>
      <x:c r="O233" t="str">
        <x:v>เช่ายืม</x:v>
      </x:c>
      <x:c r="P233" t="str">
        <x:v>เช่ายืม</x:v>
      </x:c>
      <x:c r="Q233" t="str">
        <x:v>อยู่ระหว่างเช่ายืม / เกินกำหนดคืน 73 วัน</x:v>
      </x:c>
      <x:c r="R233"/>
      <x:c r="S233" t="str">
        <x:v>233.0</x:v>
      </x:c>
    </x:row>
    <x:row r="234">
      <x:c r="A234" t="str">
        <x:v>R0212</x:v>
      </x:c>
      <x:c r="B234" t="str">
        <x:v>39478</x:v>
      </x:c>
      <x:c r="C234" t="str">
        <x:v>39478</x:v>
      </x:c>
      <x:c r="D234" t="str">
        <x:v>B.Braun</x:v>
      </x:c>
      <x:c r="E234" t="str">
        <x:v>Spaceplus</x:v>
      </x:c>
      <x:c r="F234" t="str">
        <x:v>โรงพยาบาลกรุงเทพ หัวหิน</x:v>
      </x:c>
      <x:c r="G234" t="str">
        <x:v>โรงพยาบาลกรุงเทพ หัวหิน</x:v>
      </x:c>
      <x:c r="H234" t="str">
        <x:v>2025-12-17</x:v>
      </x:c>
      <x:c r="I234" t="str">
        <x:v>3</x:v>
      </x:c>
      <x:c r="J234" t="str">
        <x:v>2026-03-17</x:v>
      </x:c>
      <x:c r="K234"/>
      <x:c r="L234" t="str">
        <x:v>2026-03-17</x:v>
      </x:c>
      <x:c r="M234" t="str">
        <x:v>-73.0</x:v>
      </x:c>
      <x:c r="N234" t="str">
        <x:v>73.0</x:v>
      </x:c>
      <x:c r="O234" t="str">
        <x:v>เช่ายืม</x:v>
      </x:c>
      <x:c r="P234" t="str">
        <x:v>เช่ายืม</x:v>
      </x:c>
      <x:c r="Q234" t="str">
        <x:v>อยู่ระหว่างเช่ายืม / เกินกำหนดคืน 73 วัน</x:v>
      </x:c>
      <x:c r="R234"/>
      <x:c r="S234" t="str">
        <x:v>234.0</x:v>
      </x:c>
    </x:row>
    <x:row r="235">
      <x:c r="A235" t="str">
        <x:v>R0213</x:v>
      </x:c>
      <x:c r="B235" t="str">
        <x:v>30871</x:v>
      </x:c>
      <x:c r="C235" t="str">
        <x:v>30871</x:v>
      </x:c>
      <x:c r="D235" t="str">
        <x:v>B.Braun</x:v>
      </x:c>
      <x:c r="E235" t="str">
        <x:v>Spaceplus</x:v>
      </x:c>
      <x:c r="F235" t="str">
        <x:v>โรงพยาบาลกรุงเทพ หัวหิน</x:v>
      </x:c>
      <x:c r="G235" t="str">
        <x:v>โรงพยาบาลกรุงเทพ หัวหิน</x:v>
      </x:c>
      <x:c r="H235" t="str">
        <x:v>2025-12-17</x:v>
      </x:c>
      <x:c r="I235" t="str">
        <x:v>3</x:v>
      </x:c>
      <x:c r="J235" t="str">
        <x:v>2026-03-17</x:v>
      </x:c>
      <x:c r="K235"/>
      <x:c r="L235" t="str">
        <x:v>2026-03-17</x:v>
      </x:c>
      <x:c r="M235" t="str">
        <x:v>-73.0</x:v>
      </x:c>
      <x:c r="N235" t="str">
        <x:v>73.0</x:v>
      </x:c>
      <x:c r="O235" t="str">
        <x:v>เช่ายืม</x:v>
      </x:c>
      <x:c r="P235" t="str">
        <x:v>เช่ายืม</x:v>
      </x:c>
      <x:c r="Q235" t="str">
        <x:v>อยู่ระหว่างเช่ายืม / เกินกำหนดคืน 73 วัน</x:v>
      </x:c>
      <x:c r="R235"/>
      <x:c r="S235" t="str">
        <x:v>235.0</x:v>
      </x:c>
    </x:row>
    <x:row r="236">
      <x:c r="A236" t="str">
        <x:v>R0214</x:v>
      </x:c>
      <x:c r="B236" t="str">
        <x:v>39460</x:v>
      </x:c>
      <x:c r="C236" t="str">
        <x:v>39460</x:v>
      </x:c>
      <x:c r="D236" t="str">
        <x:v>B.Braun</x:v>
      </x:c>
      <x:c r="E236" t="str">
        <x:v>Spaceplus</x:v>
      </x:c>
      <x:c r="F236" t="str">
        <x:v>โรงพยาบาลกรุงเทพ หัวหิน</x:v>
      </x:c>
      <x:c r="G236" t="str">
        <x:v>โรงพยาบาลกรุงเทพ หัวหิน</x:v>
      </x:c>
      <x:c r="H236" t="str">
        <x:v>2025-12-17</x:v>
      </x:c>
      <x:c r="I236" t="str">
        <x:v>3</x:v>
      </x:c>
      <x:c r="J236" t="str">
        <x:v>2026-03-17</x:v>
      </x:c>
      <x:c r="K236"/>
      <x:c r="L236" t="str">
        <x:v>2026-03-17</x:v>
      </x:c>
      <x:c r="M236" t="str">
        <x:v>-73.0</x:v>
      </x:c>
      <x:c r="N236" t="str">
        <x:v>73.0</x:v>
      </x:c>
      <x:c r="O236" t="str">
        <x:v>เช่ายืม</x:v>
      </x:c>
      <x:c r="P236" t="str">
        <x:v>เช่ายืม</x:v>
      </x:c>
      <x:c r="Q236" t="str">
        <x:v>อยู่ระหว่างเช่ายืม / เกินกำหนดคืน 73 วัน</x:v>
      </x:c>
      <x:c r="R236"/>
      <x:c r="S236" t="str">
        <x:v>236.0</x:v>
      </x:c>
    </x:row>
    <x:row r="237">
      <x:c r="A237" t="str">
        <x:v>R0215</x:v>
      </x:c>
      <x:c r="B237" t="str">
        <x:v>30870</x:v>
      </x:c>
      <x:c r="C237" t="str">
        <x:v>30870</x:v>
      </x:c>
      <x:c r="D237" t="str">
        <x:v>B.Braun</x:v>
      </x:c>
      <x:c r="E237" t="str">
        <x:v>Infusomat Space</x:v>
      </x:c>
      <x:c r="F237" t="str">
        <x:v>BCM</x:v>
      </x:c>
      <x:c r="G237" t="str">
        <x:v>BCM</x:v>
      </x:c>
      <x:c r="H237" t="str">
        <x:v>2026-01-20</x:v>
      </x:c>
      <x:c r="I237" t="str">
        <x:v>3</x:v>
      </x:c>
      <x:c r="J237" t="str">
        <x:v>2026-04-20</x:v>
      </x:c>
      <x:c r="K237"/>
      <x:c r="L237" t="str">
        <x:v>2026-04-20</x:v>
      </x:c>
      <x:c r="M237" t="str">
        <x:v>-39.0</x:v>
      </x:c>
      <x:c r="N237" t="str">
        <x:v>39.0</x:v>
      </x:c>
      <x:c r="O237" t="str">
        <x:v>เช่ายืม</x:v>
      </x:c>
      <x:c r="P237" t="str">
        <x:v>เช่ายืม</x:v>
      </x:c>
      <x:c r="Q237" t="str">
        <x:v>อยู่ระหว่างเช่ายืม / เกินกำหนดคืน 39 วัน</x:v>
      </x:c>
      <x:c r="R237"/>
      <x:c r="S237" t="str">
        <x:v>237.0</x:v>
      </x:c>
    </x:row>
    <x:row r="238">
      <x:c r="A238" t="str">
        <x:v>R0216</x:v>
      </x:c>
      <x:c r="B238" t="str">
        <x:v>31104</x:v>
      </x:c>
      <x:c r="C238" t="str">
        <x:v>31104</x:v>
      </x:c>
      <x:c r="D238" t="str">
        <x:v>B.Braun</x:v>
      </x:c>
      <x:c r="E238" t="str">
        <x:v>Infusomat Space</x:v>
      </x:c>
      <x:c r="F238" t="str">
        <x:v>BCM</x:v>
      </x:c>
      <x:c r="G238" t="str">
        <x:v>BCM</x:v>
      </x:c>
      <x:c r="H238" t="str">
        <x:v>2026-01-20</x:v>
      </x:c>
      <x:c r="I238" t="str">
        <x:v>3</x:v>
      </x:c>
      <x:c r="J238" t="str">
        <x:v>2026-04-20</x:v>
      </x:c>
      <x:c r="K238"/>
      <x:c r="L238" t="str">
        <x:v>2026-04-20</x:v>
      </x:c>
      <x:c r="M238" t="str">
        <x:v>-39.0</x:v>
      </x:c>
      <x:c r="N238" t="str">
        <x:v>39.0</x:v>
      </x:c>
      <x:c r="O238" t="str">
        <x:v>เช่ายืม</x:v>
      </x:c>
      <x:c r="P238" t="str">
        <x:v>เช่ายืม</x:v>
      </x:c>
      <x:c r="Q238" t="str">
        <x:v>อยู่ระหว่างเช่ายืม / เกินกำหนดคืน 39 วัน</x:v>
      </x:c>
      <x:c r="R238"/>
      <x:c r="S238" t="str">
        <x:v>238.0</x:v>
      </x:c>
    </x:row>
    <x:row r="239">
      <x:c r="A239" t="str">
        <x:v>R0217</x:v>
      </x:c>
      <x:c r="B239" t="str">
        <x:v>31132</x:v>
      </x:c>
      <x:c r="C239" t="str">
        <x:v>31132</x:v>
      </x:c>
      <x:c r="D239" t="str">
        <x:v>B.Braun</x:v>
      </x:c>
      <x:c r="E239" t="str">
        <x:v>Infusomat Space</x:v>
      </x:c>
      <x:c r="F239" t="str">
        <x:v>BCM</x:v>
      </x:c>
      <x:c r="G239" t="str">
        <x:v>BCM</x:v>
      </x:c>
      <x:c r="H239" t="str">
        <x:v>2026-01-20</x:v>
      </x:c>
      <x:c r="I239" t="str">
        <x:v>3</x:v>
      </x:c>
      <x:c r="J239" t="str">
        <x:v>2026-04-20</x:v>
      </x:c>
      <x:c r="K239"/>
      <x:c r="L239" t="str">
        <x:v>2026-04-20</x:v>
      </x:c>
      <x:c r="M239" t="str">
        <x:v>-39.0</x:v>
      </x:c>
      <x:c r="N239" t="str">
        <x:v>39.0</x:v>
      </x:c>
      <x:c r="O239" t="str">
        <x:v>เช่ายืม</x:v>
      </x:c>
      <x:c r="P239" t="str">
        <x:v>เช่ายืม</x:v>
      </x:c>
      <x:c r="Q239" t="str">
        <x:v>อยู่ระหว่างเช่ายืม / เกินกำหนดคืน 39 วัน</x:v>
      </x:c>
      <x:c r="R239"/>
      <x:c r="S239" t="str">
        <x:v>239.0</x:v>
      </x:c>
    </x:row>
    <x:row r="240">
      <x:c r="A240" t="str">
        <x:v>R0218</x:v>
      </x:c>
      <x:c r="B240" t="str">
        <x:v>39413</x:v>
      </x:c>
      <x:c r="C240" t="str">
        <x:v>39413</x:v>
      </x:c>
      <x:c r="D240" t="str">
        <x:v>B.Braun</x:v>
      </x:c>
      <x:c r="E240" t="str">
        <x:v>Infusomat Space</x:v>
      </x:c>
      <x:c r="F240" t="str">
        <x:v>BCM</x:v>
      </x:c>
      <x:c r="G240" t="str">
        <x:v>BCM</x:v>
      </x:c>
      <x:c r="H240" t="str">
        <x:v>2026-01-20</x:v>
      </x:c>
      <x:c r="I240" t="str">
        <x:v>3</x:v>
      </x:c>
      <x:c r="J240" t="str">
        <x:v>2026-04-20</x:v>
      </x:c>
      <x:c r="K240"/>
      <x:c r="L240" t="str">
        <x:v>2026-04-20</x:v>
      </x:c>
      <x:c r="M240" t="str">
        <x:v>-39.0</x:v>
      </x:c>
      <x:c r="N240" t="str">
        <x:v>39.0</x:v>
      </x:c>
      <x:c r="O240" t="str">
        <x:v>เช่ายืม</x:v>
      </x:c>
      <x:c r="P240" t="str">
        <x:v>เช่ายืม</x:v>
      </x:c>
      <x:c r="Q240" t="str">
        <x:v>อยู่ระหว่างเช่ายืม / เกินกำหนดคืน 39 วัน</x:v>
      </x:c>
      <x:c r="R240"/>
      <x:c r="S240" t="str">
        <x:v>240.0</x:v>
      </x:c>
    </x:row>
    <x:row r="241">
      <x:c r="A241" t="str">
        <x:v>R0219</x:v>
      </x:c>
      <x:c r="B241" t="str">
        <x:v>39430</x:v>
      </x:c>
      <x:c r="C241" t="str">
        <x:v>39430</x:v>
      </x:c>
      <x:c r="D241" t="str">
        <x:v>B.Braun</x:v>
      </x:c>
      <x:c r="E241" t="str">
        <x:v>Infusomat Space</x:v>
      </x:c>
      <x:c r="F241" t="str">
        <x:v>BCM</x:v>
      </x:c>
      <x:c r="G241" t="str">
        <x:v>BCM</x:v>
      </x:c>
      <x:c r="H241" t="str">
        <x:v>2026-01-20</x:v>
      </x:c>
      <x:c r="I241" t="str">
        <x:v>3</x:v>
      </x:c>
      <x:c r="J241" t="str">
        <x:v>2026-04-20</x:v>
      </x:c>
      <x:c r="K241"/>
      <x:c r="L241" t="str">
        <x:v>2026-04-20</x:v>
      </x:c>
      <x:c r="M241" t="str">
        <x:v>-39.0</x:v>
      </x:c>
      <x:c r="N241" t="str">
        <x:v>39.0</x:v>
      </x:c>
      <x:c r="O241" t="str">
        <x:v>เช่ายืม</x:v>
      </x:c>
      <x:c r="P241" t="str">
        <x:v>เช่ายืม</x:v>
      </x:c>
      <x:c r="Q241" t="str">
        <x:v>อยู่ระหว่างเช่ายืม / เกินกำหนดคืน 39 วัน</x:v>
      </x:c>
      <x:c r="R241"/>
      <x:c r="S241" t="str">
        <x:v>241.0</x:v>
      </x:c>
    </x:row>
    <x:row r="242">
      <x:c r="A242" t="str">
        <x:v>R0220</x:v>
      </x:c>
      <x:c r="B242" t="str">
        <x:v>39458</x:v>
      </x:c>
      <x:c r="C242" t="str">
        <x:v>39458</x:v>
      </x:c>
      <x:c r="D242" t="str">
        <x:v>B.Braun</x:v>
      </x:c>
      <x:c r="E242" t="str">
        <x:v>Infusomat Space</x:v>
      </x:c>
      <x:c r="F242" t="str">
        <x:v>BCM</x:v>
      </x:c>
      <x:c r="G242" t="str">
        <x:v>BCM</x:v>
      </x:c>
      <x:c r="H242" t="str">
        <x:v>2026-01-20</x:v>
      </x:c>
      <x:c r="I242" t="str">
        <x:v>3</x:v>
      </x:c>
      <x:c r="J242" t="str">
        <x:v>2026-04-20</x:v>
      </x:c>
      <x:c r="K242"/>
      <x:c r="L242" t="str">
        <x:v>2026-04-20</x:v>
      </x:c>
      <x:c r="M242" t="str">
        <x:v>-39.0</x:v>
      </x:c>
      <x:c r="N242" t="str">
        <x:v>39.0</x:v>
      </x:c>
      <x:c r="O242" t="str">
        <x:v>เช่ายืม</x:v>
      </x:c>
      <x:c r="P242" t="str">
        <x:v>เช่ายืม</x:v>
      </x:c>
      <x:c r="Q242" t="str">
        <x:v>อยู่ระหว่างเช่ายืม / เกินกำหนดคืน 39 วัน</x:v>
      </x:c>
      <x:c r="R242"/>
      <x:c r="S242" t="str">
        <x:v>242.0</x:v>
      </x:c>
    </x:row>
    <x:row r="243">
      <x:c r="A243" t="str">
        <x:v>R0221</x:v>
      </x:c>
      <x:c r="B243" t="str">
        <x:v>39476</x:v>
      </x:c>
      <x:c r="C243" t="str">
        <x:v>39476</x:v>
      </x:c>
      <x:c r="D243" t="str">
        <x:v>B.Braun</x:v>
      </x:c>
      <x:c r="E243" t="str">
        <x:v>Infusomat Space</x:v>
      </x:c>
      <x:c r="F243" t="str">
        <x:v>BCM</x:v>
      </x:c>
      <x:c r="G243" t="str">
        <x:v>BCM</x:v>
      </x:c>
      <x:c r="H243" t="str">
        <x:v>2026-01-20</x:v>
      </x:c>
      <x:c r="I243" t="str">
        <x:v>3</x:v>
      </x:c>
      <x:c r="J243" t="str">
        <x:v>2026-04-20</x:v>
      </x:c>
      <x:c r="K243"/>
      <x:c r="L243" t="str">
        <x:v>2026-04-20</x:v>
      </x:c>
      <x:c r="M243" t="str">
        <x:v>-39.0</x:v>
      </x:c>
      <x:c r="N243" t="str">
        <x:v>39.0</x:v>
      </x:c>
      <x:c r="O243" t="str">
        <x:v>เช่ายืม</x:v>
      </x:c>
      <x:c r="P243" t="str">
        <x:v>เช่ายืม</x:v>
      </x:c>
      <x:c r="Q243" t="str">
        <x:v>อยู่ระหว่างเช่ายืม / เกินกำหนดคืน 39 วัน</x:v>
      </x:c>
      <x:c r="R243"/>
      <x:c r="S243" t="str">
        <x:v>243.0</x:v>
      </x:c>
    </x:row>
    <x:row r="244">
      <x:c r="A244" t="str">
        <x:v>R0222</x:v>
      </x:c>
      <x:c r="B244" t="str">
        <x:v>39479</x:v>
      </x:c>
      <x:c r="C244" t="str">
        <x:v>39479</x:v>
      </x:c>
      <x:c r="D244" t="str">
        <x:v>B.Braun</x:v>
      </x:c>
      <x:c r="E244" t="str">
        <x:v>Infusomat Space</x:v>
      </x:c>
      <x:c r="F244" t="str">
        <x:v>BCM</x:v>
      </x:c>
      <x:c r="G244" t="str">
        <x:v>BCM</x:v>
      </x:c>
      <x:c r="H244" t="str">
        <x:v>2026-01-20</x:v>
      </x:c>
      <x:c r="I244" t="str">
        <x:v>3</x:v>
      </x:c>
      <x:c r="J244" t="str">
        <x:v>2026-04-20</x:v>
      </x:c>
      <x:c r="K244"/>
      <x:c r="L244" t="str">
        <x:v>2026-04-20</x:v>
      </x:c>
      <x:c r="M244" t="str">
        <x:v>-39.0</x:v>
      </x:c>
      <x:c r="N244" t="str">
        <x:v>39.0</x:v>
      </x:c>
      <x:c r="O244" t="str">
        <x:v>เช่ายืม</x:v>
      </x:c>
      <x:c r="P244" t="str">
        <x:v>เช่ายืม</x:v>
      </x:c>
      <x:c r="Q244" t="str">
        <x:v>อยู่ระหว่างเช่ายืม / เกินกำหนดคืน 39 วัน</x:v>
      </x:c>
      <x:c r="R244"/>
      <x:c r="S244" t="str">
        <x:v>244.0</x:v>
      </x:c>
    </x:row>
    <x:row r="245">
      <x:c r="A245" t="str">
        <x:v>R0223</x:v>
      </x:c>
      <x:c r="B245" t="str">
        <x:v>52896</x:v>
      </x:c>
      <x:c r="C245" t="str">
        <x:v>52896</x:v>
      </x:c>
      <x:c r="D245" t="str">
        <x:v>B.Braun</x:v>
      </x:c>
      <x:c r="E245" t="str">
        <x:v>Infusomat Space</x:v>
      </x:c>
      <x:c r="F245" t="str">
        <x:v>BCM</x:v>
      </x:c>
      <x:c r="G245" t="str">
        <x:v>BCM</x:v>
      </x:c>
      <x:c r="H245" t="str">
        <x:v>2026-01-20</x:v>
      </x:c>
      <x:c r="I245" t="str">
        <x:v>3</x:v>
      </x:c>
      <x:c r="J245" t="str">
        <x:v>2026-04-20</x:v>
      </x:c>
      <x:c r="K245"/>
      <x:c r="L245" t="str">
        <x:v>2026-04-20</x:v>
      </x:c>
      <x:c r="M245" t="str">
        <x:v>-39.0</x:v>
      </x:c>
      <x:c r="N245" t="str">
        <x:v>39.0</x:v>
      </x:c>
      <x:c r="O245" t="str">
        <x:v>เช่ายืม</x:v>
      </x:c>
      <x:c r="P245" t="str">
        <x:v>เช่ายืม</x:v>
      </x:c>
      <x:c r="Q245" t="str">
        <x:v>อยู่ระหว่างเช่ายืม / เกินกำหนดคืน 39 วัน</x:v>
      </x:c>
      <x:c r="R245"/>
      <x:c r="S245" t="str">
        <x:v>245.0</x:v>
      </x:c>
    </x:row>
    <x:row r="246">
      <x:c r="A246" t="str">
        <x:v>R0224</x:v>
      </x:c>
      <x:c r="B246" t="str">
        <x:v>52969</x:v>
      </x:c>
      <x:c r="C246" t="str">
        <x:v>52969</x:v>
      </x:c>
      <x:c r="D246" t="str">
        <x:v>B.Braun</x:v>
      </x:c>
      <x:c r="E246" t="str">
        <x:v>Infusomat Space</x:v>
      </x:c>
      <x:c r="F246" t="str">
        <x:v>BCM</x:v>
      </x:c>
      <x:c r="G246" t="str">
        <x:v>BCM</x:v>
      </x:c>
      <x:c r="H246" t="str">
        <x:v>2026-01-20</x:v>
      </x:c>
      <x:c r="I246" t="str">
        <x:v>3</x:v>
      </x:c>
      <x:c r="J246" t="str">
        <x:v>2026-04-20</x:v>
      </x:c>
      <x:c r="K246"/>
      <x:c r="L246" t="str">
        <x:v>2026-04-20</x:v>
      </x:c>
      <x:c r="M246" t="str">
        <x:v>-39.0</x:v>
      </x:c>
      <x:c r="N246" t="str">
        <x:v>39.0</x:v>
      </x:c>
      <x:c r="O246" t="str">
        <x:v>เช่ายืม</x:v>
      </x:c>
      <x:c r="P246" t="str">
        <x:v>เช่ายืม</x:v>
      </x:c>
      <x:c r="Q246" t="str">
        <x:v>อยู่ระหว่างเช่ายืม / เกินกำหนดคืน 39 วัน</x:v>
      </x:c>
      <x:c r="R246"/>
      <x:c r="S246" t="str">
        <x:v>246.0</x:v>
      </x:c>
    </x:row>
    <x:row r="247">
      <x:c r="A247" t="str">
        <x:v>R0225</x:v>
      </x:c>
      <x:c r="B247" t="str">
        <x:v>CESR00167</x:v>
      </x:c>
      <x:c r="C247" t="str">
        <x:v>21124030173</x:v>
      </x:c>
      <x:c r="D247" t="str">
        <x:v>BYOND</x:v>
      </x:c>
      <x:c r="E247" t="str">
        <x:v>Sunfusion Semi-2</x:v>
      </x:c>
      <x:c r="F247" t="str">
        <x:v>DEMO ศบศ</x:v>
      </x:c>
      <x:c r="G247" t="str">
        <x:v>DEMO ศบศ</x:v>
      </x:c>
      <x:c r="H247" t="str">
        <x:v>2026-03-13</x:v>
      </x:c>
      <x:c r="I247" t="str">
        <x:v>2</x:v>
      </x:c>
      <x:c r="J247" t="str">
        <x:v>2026-05-13</x:v>
      </x:c>
      <x:c r="K247" t="str">
        <x:v>46171.0</x:v>
      </x:c>
      <x:c r="L247" t="str">
        <x:v>2026-05-13</x:v>
      </x:c>
      <x:c r="M247" t="str">
        <x:v>-16.0</x:v>
      </x:c>
      <x:c r="N247" t="str">
        <x:v>16.0</x:v>
      </x:c>
      <x:c r="O247" t="str">
        <x:v>คืนแล้ว</x:v>
      </x:c>
      <x:c r="P247" t="str">
        <x:v>รอสอบเทียบ</x:v>
      </x:c>
      <x:c r="Q247" t="str">
        <x:v>Returned</x:v>
      </x:c>
      <x:c r="R247" t="str">
        <x:v>Return from web</x:v>
      </x:c>
      <x:c r="S247" t="str">
        <x:v>247.0</x:v>
      </x:c>
    </x:row>
    <x:row r="248">
      <x:c r="A248" t="str">
        <x:v>R0226</x:v>
      </x:c>
      <x:c r="B248" t="str">
        <x:v>CESR00287</x:v>
      </x:c>
      <x:c r="C248" t="str">
        <x:v>52924</x:v>
      </x:c>
      <x:c r="D248" t="str">
        <x:v>B.Braun</x:v>
      </x:c>
      <x:c r="E248" t="str">
        <x:v>Spaceplus</x:v>
      </x:c>
      <x:c r="F248" t="str">
        <x:v>DEMO ศบศ</x:v>
      </x:c>
      <x:c r="G248" t="str">
        <x:v>DEMO ศบศ</x:v>
      </x:c>
      <x:c r="H248" t="str">
        <x:v>2026-03-13</x:v>
      </x:c>
      <x:c r="I248" t="str">
        <x:v>2</x:v>
      </x:c>
      <x:c r="J248" t="str">
        <x:v>2026-05-13</x:v>
      </x:c>
      <x:c r="K248"/>
      <x:c r="L248" t="str">
        <x:v>2026-05-13</x:v>
      </x:c>
      <x:c r="M248" t="str">
        <x:v>-16.0</x:v>
      </x:c>
      <x:c r="N248" t="str">
        <x:v>16.0</x:v>
      </x:c>
      <x:c r="O248" t="str">
        <x:v>เช่ายืม</x:v>
      </x:c>
      <x:c r="P248" t="str">
        <x:v>เช่ายืม</x:v>
      </x:c>
      <x:c r="Q248" t="str">
        <x:v>อยู่ระหว่างเช่ายืม / เกินกำหนดคืน 16 วัน</x:v>
      </x:c>
      <x:c r="R248"/>
      <x:c r="S248" t="str">
        <x:v>248.0</x:v>
      </x:c>
    </x:row>
    <x:row r="249">
      <x:c r="A249" t="str">
        <x:v>R0227</x:v>
      </x:c>
      <x:c r="B249" t="str">
        <x:v>SN_614099</x:v>
      </x:c>
      <x:c r="C249" t="str">
        <x:v>614099</x:v>
      </x:c>
      <x:c r="D249" t="str">
        <x:v>B.Braun</x:v>
      </x:c>
      <x:c r="E249" t="str">
        <x:v>Infusomat Space</x:v>
      </x:c>
      <x:c r="F249" t="str">
        <x:v>DEMO ศบศ</x:v>
      </x:c>
      <x:c r="G249" t="str">
        <x:v>DEMO ศบศ</x:v>
      </x:c>
      <x:c r="H249" t="str">
        <x:v>2026-03-13</x:v>
      </x:c>
      <x:c r="I249" t="str">
        <x:v>2</x:v>
      </x:c>
      <x:c r="J249" t="str">
        <x:v>2026-05-13</x:v>
      </x:c>
      <x:c r="K249"/>
      <x:c r="L249" t="str">
        <x:v>2026-05-13</x:v>
      </x:c>
      <x:c r="M249" t="str">
        <x:v>-16.0</x:v>
      </x:c>
      <x:c r="N249" t="str">
        <x:v>16.0</x:v>
      </x:c>
      <x:c r="O249" t="str">
        <x:v>เช่ายืม</x:v>
      </x:c>
      <x:c r="P249" t="str">
        <x:v>เช่ายืม</x:v>
      </x:c>
      <x:c r="Q249" t="str">
        <x:v>อยู่ระหว่างเช่ายืม / เกินกำหนดคืน 16 วัน</x:v>
      </x:c>
      <x:c r="R249"/>
      <x:c r="S249" t="str">
        <x:v>249.0</x:v>
      </x:c>
    </x:row>
    <x:row r="250">
      <x:c r="A250" t="str">
        <x:v>R0228</x:v>
      </x:c>
      <x:c r="B250" t="str">
        <x:v>334524</x:v>
      </x:c>
      <x:c r="C250" t="str">
        <x:v>334524</x:v>
      </x:c>
      <x:c r="D250" t="str">
        <x:v>B.Braun</x:v>
      </x:c>
      <x:c r="E250" t="str">
        <x:v>Infusomat Space</x:v>
      </x:c>
      <x:c r="F250" t="str">
        <x:v>DEMO ศบศ</x:v>
      </x:c>
      <x:c r="G250" t="str">
        <x:v>DEMO ศบศ</x:v>
      </x:c>
      <x:c r="H250" t="str">
        <x:v>2026-03-13</x:v>
      </x:c>
      <x:c r="I250" t="str">
        <x:v>2</x:v>
      </x:c>
      <x:c r="J250" t="str">
        <x:v>2026-05-13</x:v>
      </x:c>
      <x:c r="K250"/>
      <x:c r="L250" t="str">
        <x:v>2026-05-13</x:v>
      </x:c>
      <x:c r="M250" t="str">
        <x:v>-16.0</x:v>
      </x:c>
      <x:c r="N250" t="str">
        <x:v>16.0</x:v>
      </x:c>
      <x:c r="O250" t="str">
        <x:v>เช่ายืม</x:v>
      </x:c>
      <x:c r="P250" t="str">
        <x:v>เช่ายืม</x:v>
      </x:c>
      <x:c r="Q250" t="str">
        <x:v>อยู่ระหว่างเช่ายืม / เกินกำหนดคืน 16 วัน</x:v>
      </x:c>
      <x:c r="R250"/>
      <x:c r="S250" t="str">
        <x:v>250.0</x:v>
      </x:c>
    </x:row>
    <x:row r="251">
      <x:c r="A251" t="str">
        <x:v>R0229</x:v>
      </x:c>
      <x:c r="B251" t="str">
        <x:v>CESR00041</x:v>
      </x:c>
      <x:c r="C251" t="str">
        <x:v>21123050043</x:v>
      </x:c>
      <x:c r="D251" t="str">
        <x:v>BYOND</x:v>
      </x:c>
      <x:c r="E251" t="str">
        <x:v>Sunfusion Semi-2</x:v>
      </x:c>
      <x:c r="F251" t="str">
        <x:v>DEMO ศบศ</x:v>
      </x:c>
      <x:c r="G251" t="str">
        <x:v>DEMO ศบศ</x:v>
      </x:c>
      <x:c r="H251" t="str">
        <x:v>2026-03-13</x:v>
      </x:c>
      <x:c r="I251" t="str">
        <x:v>2</x:v>
      </x:c>
      <x:c r="J251" t="str">
        <x:v>2026-05-13</x:v>
      </x:c>
      <x:c r="K251"/>
      <x:c r="L251" t="str">
        <x:v>2026-05-13</x:v>
      </x:c>
      <x:c r="M251" t="str">
        <x:v>-16.0</x:v>
      </x:c>
      <x:c r="N251" t="str">
        <x:v>16.0</x:v>
      </x:c>
      <x:c r="O251" t="str">
        <x:v>เช่ายืม</x:v>
      </x:c>
      <x:c r="P251" t="str">
        <x:v>เช่ายืม</x:v>
      </x:c>
      <x:c r="Q251" t="str">
        <x:v>อยู่ระหว่างเช่ายืม / เกินกำหนดคืน 16 วัน</x:v>
      </x:c>
      <x:c r="R251" t="str">
        <x:v>-</x:v>
      </x:c>
      <x:c r="S251" t="str">
        <x:v>251.0</x:v>
      </x:c>
    </x:row>
    <x:row r="252">
      <x:c r="A252" t="str">
        <x:v>R0251</x:v>
      </x:c>
      <x:c r="B252" t="str">
        <x:v>CESR00111</x:v>
      </x:c>
      <x:c r="C252" t="str">
        <x:v>21123050125</x:v>
      </x:c>
      <x:c r="D252" t="str">
        <x:v>BYOND</x:v>
      </x:c>
      <x:c r="E252" t="str">
        <x:v>Sunfusion Semi-2</x:v>
      </x:c>
      <x:c r="F252" t="str">
        <x:v>GJ</x:v>
      </x:c>
      <x:c r="G252" t="str">
        <x:v>GJ</x:v>
      </x:c>
      <x:c r="H252" t="str">
        <x:v>2026-05-27</x:v>
      </x:c>
      <x:c r="I252" t="str">
        <x:v>1</x:v>
      </x:c>
      <x:c r="J252" t="str">
        <x:v>2026-06-27</x:v>
      </x:c>
      <x:c r="K252"/>
      <x:c r="L252" t="str">
        <x:v>2026-06-27</x:v>
      </x:c>
      <x:c r="M252" t="str">
        <x:v>29.0</x:v>
      </x:c>
      <x:c r="N252" t="str">
        <x:v>0.0</x:v>
      </x:c>
      <x:c r="O252" t="str">
        <x:v>เช่ายืม</x:v>
      </x:c>
      <x:c r="P252" t="str">
        <x:v>เช่ายืม</x:v>
      </x:c>
      <x:c r="Q252" t="str">
        <x:v>อยู่ระหว่างเช่ายืม</x:v>
      </x:c>
      <x:c r="R252"/>
      <x:c r="S252" t="str">
        <x:v>252.0</x:v>
      </x:c>
    </x:row>
    <x:row r="253">
      <x:c r="A253" t="str">
        <x:v>R0252</x:v>
      </x:c>
      <x:c r="B253" t="str">
        <x:v>CESR00125</x:v>
      </x:c>
      <x:c r="C253" t="str">
        <x:v>21123050141</x:v>
      </x:c>
      <x:c r="D253" t="str">
        <x:v>BYOND</x:v>
      </x:c>
      <x:c r="E253" t="str">
        <x:v>Sunfusion Semi-2</x:v>
      </x:c>
      <x:c r="F253" t="str">
        <x:v>GJ</x:v>
      </x:c>
      <x:c r="G253" t="str">
        <x:v>GJ</x:v>
      </x:c>
      <x:c r="H253" t="str">
        <x:v>2026-05-27</x:v>
      </x:c>
      <x:c r="I253" t="str">
        <x:v>1</x:v>
      </x:c>
      <x:c r="J253" t="str">
        <x:v>2026-06-27</x:v>
      </x:c>
      <x:c r="K253"/>
      <x:c r="L253" t="str">
        <x:v>2026-06-27</x:v>
      </x:c>
      <x:c r="M253" t="str">
        <x:v>29.0</x:v>
      </x:c>
      <x:c r="N253" t="str">
        <x:v>0.0</x:v>
      </x:c>
      <x:c r="O253" t="str">
        <x:v>เช่ายืม</x:v>
      </x:c>
      <x:c r="P253" t="str">
        <x:v>เช่ายืม</x:v>
      </x:c>
      <x:c r="Q253" t="str">
        <x:v>อยู่ระหว่างเช่ายืม</x:v>
      </x:c>
      <x:c r="R253"/>
      <x:c r="S253" t="str">
        <x:v>253.0</x:v>
      </x:c>
    </x:row>
    <x:row r="254">
      <x:c r="A254" t="str">
        <x:v>R0253</x:v>
      </x:c>
      <x:c r="B254" t="str">
        <x:v>CESR00139</x:v>
      </x:c>
      <x:c r="C254" t="str">
        <x:v>21123060007</x:v>
      </x:c>
      <x:c r="D254" t="str">
        <x:v>BYOND</x:v>
      </x:c>
      <x:c r="E254" t="str">
        <x:v>Sunfusion Semi-2</x:v>
      </x:c>
      <x:c r="F254" t="str">
        <x:v>GJ</x:v>
      </x:c>
      <x:c r="G254" t="str">
        <x:v>GJ</x:v>
      </x:c>
      <x:c r="H254" t="str">
        <x:v>2026-05-27</x:v>
      </x:c>
      <x:c r="I254" t="str">
        <x:v>1</x:v>
      </x:c>
      <x:c r="J254" t="str">
        <x:v>2026-06-27</x:v>
      </x:c>
      <x:c r="K254"/>
      <x:c r="L254" t="str">
        <x:v>2026-06-27</x:v>
      </x:c>
      <x:c r="M254" t="str">
        <x:v>29.0</x:v>
      </x:c>
      <x:c r="N254" t="str">
        <x:v>0.0</x:v>
      </x:c>
      <x:c r="O254" t="str">
        <x:v>เช่ายืม</x:v>
      </x:c>
      <x:c r="P254" t="str">
        <x:v>เช่ายืม</x:v>
      </x:c>
      <x:c r="Q254" t="str">
        <x:v>อยู่ระหว่างเช่ายืม</x:v>
      </x:c>
      <x:c r="R254"/>
      <x:c r="S254" t="str">
        <x:v>254.0</x:v>
      </x:c>
    </x:row>
    <x:row r="255">
      <x:c r="A255" t="str">
        <x:v>R0254</x:v>
      </x:c>
      <x:c r="B255" t="str">
        <x:v>CESR00028</x:v>
      </x:c>
      <x:c r="C255" t="str">
        <x:v>21123050024</x:v>
      </x:c>
      <x:c r="D255" t="str">
        <x:v>BYOND</x:v>
      </x:c>
      <x:c r="E255" t="str">
        <x:v>Sunfusion Semi-2</x:v>
      </x:c>
      <x:c r="F255" t="str">
        <x:v>GJ</x:v>
      </x:c>
      <x:c r="G255" t="str">
        <x:v>GJ</x:v>
      </x:c>
      <x:c r="H255" t="str">
        <x:v>2026-05-27</x:v>
      </x:c>
      <x:c r="I255" t="str">
        <x:v>1</x:v>
      </x:c>
      <x:c r="J255" t="str">
        <x:v>2026-06-27</x:v>
      </x:c>
      <x:c r="K255"/>
      <x:c r="L255" t="str">
        <x:v>2026-06-27</x:v>
      </x:c>
      <x:c r="M255" t="str">
        <x:v>29.0</x:v>
      </x:c>
      <x:c r="N255" t="str">
        <x:v>0.0</x:v>
      </x:c>
      <x:c r="O255" t="str">
        <x:v>เช่ายืม</x:v>
      </x:c>
      <x:c r="P255" t="str">
        <x:v>เช่ายืม</x:v>
      </x:c>
      <x:c r="Q255" t="str">
        <x:v>อยู่ระหว่างเช่ายืม</x:v>
      </x:c>
      <x:c r="R255"/>
      <x:c r="S255" t="str">
        <x:v>255.0</x:v>
      </x:c>
    </x:row>
    <x:row r="256">
      <x:c r="A256" t="str">
        <x:v>R0255</x:v>
      </x:c>
      <x:c r="B256" t="str">
        <x:v>CESR00121</x:v>
      </x:c>
      <x:c r="C256" t="str">
        <x:v>21123050137</x:v>
      </x:c>
      <x:c r="D256" t="str">
        <x:v>BYOND</x:v>
      </x:c>
      <x:c r="E256" t="str">
        <x:v>Sunfusion Semi-2</x:v>
      </x:c>
      <x:c r="F256" t="str">
        <x:v>GJ</x:v>
      </x:c>
      <x:c r="G256" t="str">
        <x:v>GJ</x:v>
      </x:c>
      <x:c r="H256" t="str">
        <x:v>2026-05-27</x:v>
      </x:c>
      <x:c r="I256" t="str">
        <x:v>1</x:v>
      </x:c>
      <x:c r="J256" t="str">
        <x:v>2026-06-27</x:v>
      </x:c>
      <x:c r="K256"/>
      <x:c r="L256" t="str">
        <x:v>2026-06-27</x:v>
      </x:c>
      <x:c r="M256" t="str">
        <x:v>29.0</x:v>
      </x:c>
      <x:c r="N256" t="str">
        <x:v>0.0</x:v>
      </x:c>
      <x:c r="O256" t="str">
        <x:v>เช่ายืม</x:v>
      </x:c>
      <x:c r="P256" t="str">
        <x:v>เช่ายืม</x:v>
      </x:c>
      <x:c r="Q256" t="str">
        <x:v>อยู่ระหว่างเช่ายืม</x:v>
      </x:c>
      <x:c r="R256"/>
      <x:c r="S256" t="str">
        <x:v>256.0</x:v>
      </x:c>
    </x:row>
    <x:row r="257">
      <x:c r="A257" t="str">
        <x:v>R0256</x:v>
      </x:c>
      <x:c r="B257" t="str">
        <x:v>CESR00134</x:v>
      </x:c>
      <x:c r="C257" t="str">
        <x:v>21123060002</x:v>
      </x:c>
      <x:c r="D257" t="str">
        <x:v>BYOND</x:v>
      </x:c>
      <x:c r="E257" t="str">
        <x:v>Sunfusion Semi-2</x:v>
      </x:c>
      <x:c r="F257" t="str">
        <x:v>GJ</x:v>
      </x:c>
      <x:c r="G257" t="str">
        <x:v>GJ</x:v>
      </x:c>
      <x:c r="H257" t="str">
        <x:v>2026-05-27</x:v>
      </x:c>
      <x:c r="I257" t="str">
        <x:v>1</x:v>
      </x:c>
      <x:c r="J257" t="str">
        <x:v>2026-06-27</x:v>
      </x:c>
      <x:c r="K257"/>
      <x:c r="L257" t="str">
        <x:v>2026-06-27</x:v>
      </x:c>
      <x:c r="M257" t="str">
        <x:v>29.0</x:v>
      </x:c>
      <x:c r="N257" t="str">
        <x:v>0.0</x:v>
      </x:c>
      <x:c r="O257" t="str">
        <x:v>เช่ายืม</x:v>
      </x:c>
      <x:c r="P257" t="str">
        <x:v>เช่ายืม</x:v>
      </x:c>
      <x:c r="Q257" t="str">
        <x:v>อยู่ระหว่างเช่ายืม</x:v>
      </x:c>
      <x:c r="R257"/>
      <x:c r="S257" t="str">
        <x:v>257.0</x:v>
      </x:c>
    </x:row>
    <x:row r="258">
      <x:c r="A258" t="str">
        <x:v>R0257</x:v>
      </x:c>
      <x:c r="B258" t="str">
        <x:v>CESR00115</x:v>
      </x:c>
      <x:c r="C258" t="str">
        <x:v>21123050129</x:v>
      </x:c>
      <x:c r="D258" t="str">
        <x:v>BYOND</x:v>
      </x:c>
      <x:c r="E258" t="str">
        <x:v>Sunfusion Semi-2</x:v>
      </x:c>
      <x:c r="F258" t="str">
        <x:v>GJ</x:v>
      </x:c>
      <x:c r="G258" t="str">
        <x:v>GJ</x:v>
      </x:c>
      <x:c r="H258" t="str">
        <x:v>2026-05-27</x:v>
      </x:c>
      <x:c r="I258" t="str">
        <x:v>1</x:v>
      </x:c>
      <x:c r="J258" t="str">
        <x:v>2026-06-27</x:v>
      </x:c>
      <x:c r="K258"/>
      <x:c r="L258" t="str">
        <x:v>2026-06-27</x:v>
      </x:c>
      <x:c r="M258" t="str">
        <x:v>29.0</x:v>
      </x:c>
      <x:c r="N258" t="str">
        <x:v>0.0</x:v>
      </x:c>
      <x:c r="O258" t="str">
        <x:v>เช่ายืม</x:v>
      </x:c>
      <x:c r="P258" t="str">
        <x:v>เช่ายืม</x:v>
      </x:c>
      <x:c r="Q258" t="str">
        <x:v>อยู่ระหว่างเช่ายืม</x:v>
      </x:c>
      <x:c r="R258"/>
      <x:c r="S258" t="str">
        <x:v>258.0</x:v>
      </x:c>
    </x:row>
    <x:row r="259">
      <x:c r="A259" t="str">
        <x:v>R0258</x:v>
      </x:c>
      <x:c r="B259" t="str">
        <x:v>CESR00037</x:v>
      </x:c>
      <x:c r="C259" t="str">
        <x:v>21123050037</x:v>
      </x:c>
      <x:c r="D259" t="str">
        <x:v>BYOND</x:v>
      </x:c>
      <x:c r="E259" t="str">
        <x:v>Sunfusion Semi-2</x:v>
      </x:c>
      <x:c r="F259" t="str">
        <x:v>GJ</x:v>
      </x:c>
      <x:c r="G259" t="str">
        <x:v>GJ</x:v>
      </x:c>
      <x:c r="H259" t="str">
        <x:v>2026-05-27</x:v>
      </x:c>
      <x:c r="I259" t="str">
        <x:v>1</x:v>
      </x:c>
      <x:c r="J259" t="str">
        <x:v>2026-06-27</x:v>
      </x:c>
      <x:c r="K259"/>
      <x:c r="L259" t="str">
        <x:v>2026-06-27</x:v>
      </x:c>
      <x:c r="M259" t="str">
        <x:v>29.0</x:v>
      </x:c>
      <x:c r="N259" t="str">
        <x:v>0.0</x:v>
      </x:c>
      <x:c r="O259" t="str">
        <x:v>เช่ายืม</x:v>
      </x:c>
      <x:c r="P259" t="str">
        <x:v>เช่ายืม</x:v>
      </x:c>
      <x:c r="Q259" t="str">
        <x:v>อยู่ระหว่างเช่ายืม</x:v>
      </x:c>
      <x:c r="R259"/>
      <x:c r="S259" t="str">
        <x:v>259.0</x:v>
      </x:c>
    </x:row>
    <x:row r="260">
      <x:c r="A260" t="str">
        <x:v>R0259</x:v>
      </x:c>
      <x:c r="B260" t="str">
        <x:v>CESR00212</x:v>
      </x:c>
      <x:c r="C260" t="str">
        <x:v>21123060085</x:v>
      </x:c>
      <x:c r="D260" t="str">
        <x:v>BYOND</x:v>
      </x:c>
      <x:c r="E260" t="str">
        <x:v>Sunfusion Semi-2</x:v>
      </x:c>
      <x:c r="F260" t="str">
        <x:v>GJ</x:v>
      </x:c>
      <x:c r="G260" t="str">
        <x:v>GJ</x:v>
      </x:c>
      <x:c r="H260" t="str">
        <x:v>2026-05-27</x:v>
      </x:c>
      <x:c r="I260" t="str">
        <x:v>1</x:v>
      </x:c>
      <x:c r="J260" t="str">
        <x:v>2026-06-27</x:v>
      </x:c>
      <x:c r="K260"/>
      <x:c r="L260" t="str">
        <x:v>2026-06-27</x:v>
      </x:c>
      <x:c r="M260" t="str">
        <x:v>29.0</x:v>
      </x:c>
      <x:c r="N260" t="str">
        <x:v>0.0</x:v>
      </x:c>
      <x:c r="O260" t="str">
        <x:v>เช่ายืม</x:v>
      </x:c>
      <x:c r="P260" t="str">
        <x:v>เช่ายืม</x:v>
      </x:c>
      <x:c r="Q260" t="str">
        <x:v>อยู่ระหว่างเช่ายืม</x:v>
      </x:c>
      <x:c r="R260"/>
      <x:c r="S260" t="str">
        <x:v>260.0</x:v>
      </x:c>
    </x:row>
    <x:row r="261">
      <x:c r="A261" t="str">
        <x:v>R0260</x:v>
      </x:c>
      <x:c r="B261" t="str">
        <x:v>CESR00214</x:v>
      </x:c>
      <x:c r="C261" t="str">
        <x:v>21123060087</x:v>
      </x:c>
      <x:c r="D261" t="str">
        <x:v>BYOND</x:v>
      </x:c>
      <x:c r="E261" t="str">
        <x:v>Sunfusion Semi-2</x:v>
      </x:c>
      <x:c r="F261" t="str">
        <x:v>GJ</x:v>
      </x:c>
      <x:c r="G261" t="str">
        <x:v>GJ</x:v>
      </x:c>
      <x:c r="H261" t="str">
        <x:v>2026-05-27</x:v>
      </x:c>
      <x:c r="I261" t="str">
        <x:v>1</x:v>
      </x:c>
      <x:c r="J261" t="str">
        <x:v>2026-06-27</x:v>
      </x:c>
      <x:c r="K261"/>
      <x:c r="L261" t="str">
        <x:v>2026-06-27</x:v>
      </x:c>
      <x:c r="M261" t="str">
        <x:v>29.0</x:v>
      </x:c>
      <x:c r="N261" t="str">
        <x:v>0.0</x:v>
      </x:c>
      <x:c r="O261" t="str">
        <x:v>เช่ายืม</x:v>
      </x:c>
      <x:c r="P261" t="str">
        <x:v>เช่ายืม</x:v>
      </x:c>
      <x:c r="Q261" t="str">
        <x:v>อยู่ระหว่างเช่ายืม</x:v>
      </x:c>
      <x:c r="R261"/>
      <x:c r="S261" t="str">
        <x:v>261.0</x:v>
      </x:c>
    </x:row>
    <x:row r="262">
      <x:c r="A262" t="str">
        <x:v>R0261</x:v>
      </x:c>
      <x:c r="B262" t="str">
        <x:v>CESR00046</x:v>
      </x:c>
      <x:c r="C262" t="str">
        <x:v>21123050049</x:v>
      </x:c>
      <x:c r="D262" t="str">
        <x:v>BYOND</x:v>
      </x:c>
      <x:c r="E262" t="str">
        <x:v>Sunfusion Semi-2</x:v>
      </x:c>
      <x:c r="F262" t="str">
        <x:v>GJ</x:v>
      </x:c>
      <x:c r="G262" t="str">
        <x:v>GJ</x:v>
      </x:c>
      <x:c r="H262" t="str">
        <x:v>2026-05-27</x:v>
      </x:c>
      <x:c r="I262" t="str">
        <x:v>5</x:v>
      </x:c>
      <x:c r="J262" t="str">
        <x:v>2026-10-27</x:v>
      </x:c>
      <x:c r="K262"/>
      <x:c r="L262" t="str">
        <x:v>2026-10-27</x:v>
      </x:c>
      <x:c r="M262" t="str">
        <x:v>151.0</x:v>
      </x:c>
      <x:c r="N262" t="str">
        <x:v>0.0</x:v>
      </x:c>
      <x:c r="O262" t="str">
        <x:v>เช่ายืม</x:v>
      </x:c>
      <x:c r="P262" t="str">
        <x:v>เช่ายืม</x:v>
      </x:c>
      <x:c r="Q262" t="str">
        <x:v>อยู่ระหว่างเช่ายืม</x:v>
      </x:c>
      <x:c r="R262"/>
      <x:c r="S262" t="str">
        <x:v>262.0</x:v>
      </x:c>
    </x:row>
    <x:row r="263">
      <x:c r="A263" t="str">
        <x:v>R0262</x:v>
      </x:c>
      <x:c r="B263" t="str">
        <x:v>CESR00227</x:v>
      </x:c>
      <x:c r="C263" t="str">
        <x:v>21123050087</x:v>
      </x:c>
      <x:c r="D263" t="str">
        <x:v>BYOND</x:v>
      </x:c>
      <x:c r="E263" t="str">
        <x:v>Sunfusion Semi-2</x:v>
      </x:c>
      <x:c r="F263" t="str">
        <x:v>GJ</x:v>
      </x:c>
      <x:c r="G263" t="str">
        <x:v>GJ</x:v>
      </x:c>
      <x:c r="H263" t="str">
        <x:v>2026-05-27</x:v>
      </x:c>
      <x:c r="I263" t="str">
        <x:v>5</x:v>
      </x:c>
      <x:c r="J263" t="str">
        <x:v>2026-10-27</x:v>
      </x:c>
      <x:c r="K263"/>
      <x:c r="L263" t="str">
        <x:v>2026-10-27</x:v>
      </x:c>
      <x:c r="M263" t="str">
        <x:v>151.0</x:v>
      </x:c>
      <x:c r="N263" t="str">
        <x:v>0.0</x:v>
      </x:c>
      <x:c r="O263" t="str">
        <x:v>เช่ายืม</x:v>
      </x:c>
      <x:c r="P263" t="str">
        <x:v>เช่ายืม</x:v>
      </x:c>
      <x:c r="Q263" t="str">
        <x:v>อยู่ระหว่างเช่ายืม</x:v>
      </x:c>
      <x:c r="R263"/>
      <x:c r="S263" t="str">
        <x:v>263.0</x:v>
      </x:c>
    </x:row>
    <x:row r="264">
      <x:c r="A264" t="str">
        <x:v>R0263</x:v>
      </x:c>
      <x:c r="B264" t="str">
        <x:v>CESR00064</x:v>
      </x:c>
      <x:c r="C264" t="str">
        <x:v>21123050073</x:v>
      </x:c>
      <x:c r="D264" t="str">
        <x:v>BYOND</x:v>
      </x:c>
      <x:c r="E264" t="str">
        <x:v>Sunfusion Semi-2</x:v>
      </x:c>
      <x:c r="F264" t="str">
        <x:v>GJ</x:v>
      </x:c>
      <x:c r="G264" t="str">
        <x:v>GJ</x:v>
      </x:c>
      <x:c r="H264" t="str">
        <x:v>2026-05-27</x:v>
      </x:c>
      <x:c r="I264" t="str">
        <x:v>5</x:v>
      </x:c>
      <x:c r="J264" t="str">
        <x:v>2026-10-27</x:v>
      </x:c>
      <x:c r="K264"/>
      <x:c r="L264" t="str">
        <x:v>2026-10-27</x:v>
      </x:c>
      <x:c r="M264" t="str">
        <x:v>151.0</x:v>
      </x:c>
      <x:c r="N264" t="str">
        <x:v>0.0</x:v>
      </x:c>
      <x:c r="O264" t="str">
        <x:v>เช่ายืม</x:v>
      </x:c>
      <x:c r="P264" t="str">
        <x:v>เช่ายืม</x:v>
      </x:c>
      <x:c r="Q264" t="str">
        <x:v>อยู่ระหว่างเช่ายืม</x:v>
      </x:c>
      <x:c r="R264"/>
      <x:c r="S264" t="str">
        <x:v>264.0</x:v>
      </x:c>
    </x:row>
    <x:row r="265">
      <x:c r="A265" t="str">
        <x:v>R0264</x:v>
      </x:c>
      <x:c r="B265" t="str">
        <x:v>CESR00126</x:v>
      </x:c>
      <x:c r="C265" t="str">
        <x:v>21123050142</x:v>
      </x:c>
      <x:c r="D265" t="str">
        <x:v>BYOND</x:v>
      </x:c>
      <x:c r="E265" t="str">
        <x:v>Sunfusion Semi-2</x:v>
      </x:c>
      <x:c r="F265" t="str">
        <x:v>GJ</x:v>
      </x:c>
      <x:c r="G265" t="str">
        <x:v>GJ</x:v>
      </x:c>
      <x:c r="H265" t="str">
        <x:v>2026-05-27</x:v>
      </x:c>
      <x:c r="I265" t="str">
        <x:v>5</x:v>
      </x:c>
      <x:c r="J265" t="str">
        <x:v>2026-10-27</x:v>
      </x:c>
      <x:c r="K265"/>
      <x:c r="L265" t="str">
        <x:v>2026-10-27</x:v>
      </x:c>
      <x:c r="M265" t="str">
        <x:v>151.0</x:v>
      </x:c>
      <x:c r="N265" t="str">
        <x:v>0.0</x:v>
      </x:c>
      <x:c r="O265" t="str">
        <x:v>เช่ายืม</x:v>
      </x:c>
      <x:c r="P265" t="str">
        <x:v>เช่ายืม</x:v>
      </x:c>
      <x:c r="Q265" t="str">
        <x:v>อยู่ระหว่างเช่ายืม</x:v>
      </x:c>
      <x:c r="R265"/>
      <x:c r="S265" t="str">
        <x:v>265.0</x:v>
      </x:c>
    </x:row>
    <x:row r="266">
      <x:c r="A266" t="str">
        <x:v>R0265</x:v>
      </x:c>
      <x:c r="B266" t="str">
        <x:v>CESR00226</x:v>
      </x:c>
      <x:c r="C266" t="str">
        <x:v>21123050050</x:v>
      </x:c>
      <x:c r="D266" t="str">
        <x:v>BYOND</x:v>
      </x:c>
      <x:c r="E266" t="str">
        <x:v>Sunfusion Semi-2</x:v>
      </x:c>
      <x:c r="F266" t="str">
        <x:v>GJ</x:v>
      </x:c>
      <x:c r="G266" t="str">
        <x:v>GJ</x:v>
      </x:c>
      <x:c r="H266" t="str">
        <x:v>2026-05-27</x:v>
      </x:c>
      <x:c r="I266" t="str">
        <x:v>5</x:v>
      </x:c>
      <x:c r="J266" t="str">
        <x:v>2026-10-27</x:v>
      </x:c>
      <x:c r="K266"/>
      <x:c r="L266" t="str">
        <x:v>2026-10-27</x:v>
      </x:c>
      <x:c r="M266" t="str">
        <x:v>151.0</x:v>
      </x:c>
      <x:c r="N266" t="str">
        <x:v>0.0</x:v>
      </x:c>
      <x:c r="O266" t="str">
        <x:v>เช่ายืม</x:v>
      </x:c>
      <x:c r="P266" t="str">
        <x:v>เช่ายืม</x:v>
      </x:c>
      <x:c r="Q266" t="str">
        <x:v>อยู่ระหว่างเช่ายืม</x:v>
      </x:c>
      <x:c r="R266"/>
      <x:c r="S266" t="str">
        <x:v>266.0</x:v>
      </x:c>
    </x:row>
    <x:row r="267">
      <x:c r="A267" t="str">
        <x:v>R0266</x:v>
      </x:c>
      <x:c r="B267" t="str">
        <x:v>CESR00055</x:v>
      </x:c>
      <x:c r="C267" t="str">
        <x:v>21123050060</x:v>
      </x:c>
      <x:c r="D267" t="str">
        <x:v>BYOND</x:v>
      </x:c>
      <x:c r="E267" t="str">
        <x:v>Sunfusion Semi-2</x:v>
      </x:c>
      <x:c r="F267" t="str">
        <x:v>GJ</x:v>
      </x:c>
      <x:c r="G267" t="str">
        <x:v>GJ</x:v>
      </x:c>
      <x:c r="H267" t="str">
        <x:v>2026-05-27</x:v>
      </x:c>
      <x:c r="I267" t="str">
        <x:v>5</x:v>
      </x:c>
      <x:c r="J267" t="str">
        <x:v>2026-10-27</x:v>
      </x:c>
      <x:c r="K267"/>
      <x:c r="L267" t="str">
        <x:v>2026-10-27</x:v>
      </x:c>
      <x:c r="M267" t="str">
        <x:v>151.0</x:v>
      </x:c>
      <x:c r="N267" t="str">
        <x:v>0.0</x:v>
      </x:c>
      <x:c r="O267" t="str">
        <x:v>เช่ายืม</x:v>
      </x:c>
      <x:c r="P267" t="str">
        <x:v>เช่ายืม</x:v>
      </x:c>
      <x:c r="Q267" t="str">
        <x:v>อยู่ระหว่างเช่ายืม</x:v>
      </x:c>
      <x:c r="R267"/>
      <x:c r="S267" t="str">
        <x:v>267.0</x:v>
      </x:c>
    </x:row>
    <x:row r="268">
      <x:c r="A268" t="str">
        <x:v>R0267</x:v>
      </x:c>
      <x:c r="B268" t="str">
        <x:v>CESR00202</x:v>
      </x:c>
      <x:c r="C268" t="str">
        <x:v>21123060073</x:v>
      </x:c>
      <x:c r="D268" t="str">
        <x:v>BYOND</x:v>
      </x:c>
      <x:c r="E268" t="str">
        <x:v>Sunfusion Semi-2</x:v>
      </x:c>
      <x:c r="F268" t="str">
        <x:v>GJ</x:v>
      </x:c>
      <x:c r="G268" t="str">
        <x:v>GJ</x:v>
      </x:c>
      <x:c r="H268" t="str">
        <x:v>2026-05-27</x:v>
      </x:c>
      <x:c r="I268" t="str">
        <x:v>5</x:v>
      </x:c>
      <x:c r="J268" t="str">
        <x:v>2026-10-27</x:v>
      </x:c>
      <x:c r="K268"/>
      <x:c r="L268" t="str">
        <x:v>2026-10-27</x:v>
      </x:c>
      <x:c r="M268" t="str">
        <x:v>151.0</x:v>
      </x:c>
      <x:c r="N268" t="str">
        <x:v>0.0</x:v>
      </x:c>
      <x:c r="O268" t="str">
        <x:v>เช่ายืม</x:v>
      </x:c>
      <x:c r="P268" t="str">
        <x:v>เช่ายืม</x:v>
      </x:c>
      <x:c r="Q268" t="str">
        <x:v>อยู่ระหว่างเช่ายืม</x:v>
      </x:c>
      <x:c r="R268"/>
      <x:c r="S268" t="str">
        <x:v>268.0</x:v>
      </x:c>
    </x:row>
    <x:row r="269">
      <x:c r="A269" t="str">
        <x:v>R0268</x:v>
      </x:c>
      <x:c r="B269" t="str">
        <x:v>CESR00088</x:v>
      </x:c>
      <x:c r="C269" t="str">
        <x:v>21123050099</x:v>
      </x:c>
      <x:c r="D269" t="str">
        <x:v>BYOND</x:v>
      </x:c>
      <x:c r="E269" t="str">
        <x:v>Sunfusion Semi-2</x:v>
      </x:c>
      <x:c r="F269" t="str">
        <x:v>GJ</x:v>
      </x:c>
      <x:c r="G269" t="str">
        <x:v>GJ</x:v>
      </x:c>
      <x:c r="H269" t="str">
        <x:v>2026-05-27</x:v>
      </x:c>
      <x:c r="I269" t="str">
        <x:v>5</x:v>
      </x:c>
      <x:c r="J269" t="str">
        <x:v>2026-10-27</x:v>
      </x:c>
      <x:c r="K269"/>
      <x:c r="L269" t="str">
        <x:v>2026-10-27</x:v>
      </x:c>
      <x:c r="M269" t="str">
        <x:v>151.0</x:v>
      </x:c>
      <x:c r="N269" t="str">
        <x:v>0.0</x:v>
      </x:c>
      <x:c r="O269" t="str">
        <x:v>เช่ายืม</x:v>
      </x:c>
      <x:c r="P269" t="str">
        <x:v>เช่ายืม</x:v>
      </x:c>
      <x:c r="Q269" t="str">
        <x:v>อยู่ระหว่างเช่ายืม</x:v>
      </x:c>
      <x:c r="R269"/>
      <x:c r="S269" t="str">
        <x:v>269.0</x:v>
      </x:c>
    </x:row>
    <x:row r="270">
      <x:c r="A270" t="str">
        <x:v>R0269</x:v>
      </x:c>
      <x:c r="B270" t="str">
        <x:v>CESR00230</x:v>
      </x:c>
      <x:c r="C270" t="str">
        <x:v>21123060093</x:v>
      </x:c>
      <x:c r="D270" t="str">
        <x:v>BYOND</x:v>
      </x:c>
      <x:c r="E270" t="str">
        <x:v>Sunfusion Semi-2</x:v>
      </x:c>
      <x:c r="F270" t="str">
        <x:v>GJ</x:v>
      </x:c>
      <x:c r="G270" t="str">
        <x:v>GJ</x:v>
      </x:c>
      <x:c r="H270" t="str">
        <x:v>2026-05-27</x:v>
      </x:c>
      <x:c r="I270" t="str">
        <x:v>5</x:v>
      </x:c>
      <x:c r="J270" t="str">
        <x:v>2026-10-27</x:v>
      </x:c>
      <x:c r="K270"/>
      <x:c r="L270" t="str">
        <x:v>2026-10-27</x:v>
      </x:c>
      <x:c r="M270" t="str">
        <x:v>151.0</x:v>
      </x:c>
      <x:c r="N270" t="str">
        <x:v>0.0</x:v>
      </x:c>
      <x:c r="O270" t="str">
        <x:v>เช่ายืม</x:v>
      </x:c>
      <x:c r="P270" t="str">
        <x:v>เช่ายืม</x:v>
      </x:c>
      <x:c r="Q270" t="str">
        <x:v>อยู่ระหว่างเช่ายืม</x:v>
      </x:c>
      <x:c r="R270"/>
      <x:c r="S270" t="str">
        <x:v>270.0</x:v>
      </x:c>
    </x:row>
    <x:row r="271">
      <x:c r="A271" t="str">
        <x:v>R0270</x:v>
      </x:c>
      <x:c r="B271" t="str">
        <x:v>CESR00035</x:v>
      </x:c>
      <x:c r="C271" t="str">
        <x:v>21122120474</x:v>
      </x:c>
      <x:c r="D271" t="str">
        <x:v>BYOND</x:v>
      </x:c>
      <x:c r="E271" t="str">
        <x:v>Sunfusion Semi-2</x:v>
      </x:c>
      <x:c r="F271" t="str">
        <x:v>GJ</x:v>
      </x:c>
      <x:c r="G271" t="str">
        <x:v>GJ</x:v>
      </x:c>
      <x:c r="H271" t="str">
        <x:v>2026-05-27</x:v>
      </x:c>
      <x:c r="I271" t="str">
        <x:v>5</x:v>
      </x:c>
      <x:c r="J271" t="str">
        <x:v>2026-10-27</x:v>
      </x:c>
      <x:c r="K271"/>
      <x:c r="L271" t="str">
        <x:v>2026-10-27</x:v>
      </x:c>
      <x:c r="M271" t="str">
        <x:v>151.0</x:v>
      </x:c>
      <x:c r="N271" t="str">
        <x:v>0.0</x:v>
      </x:c>
      <x:c r="O271" t="str">
        <x:v>เช่ายืม</x:v>
      </x:c>
      <x:c r="P271" t="str">
        <x:v>เช่ายืม</x:v>
      </x:c>
      <x:c r="Q271" t="str">
        <x:v>อยู่ระหว่างเช่ายืม</x:v>
      </x:c>
      <x:c r="R271"/>
      <x:c r="S271" t="str">
        <x:v>271.0</x:v>
      </x:c>
    </x:row>
    <x:row r="272">
      <x:c r="A272" t="str">
        <x:v>R0271</x:v>
      </x:c>
      <x:c r="B272" t="str">
        <x:v>CESR00065</x:v>
      </x:c>
      <x:c r="C272" t="str">
        <x:v>21123050074</x:v>
      </x:c>
      <x:c r="D272" t="str">
        <x:v>BYOND</x:v>
      </x:c>
      <x:c r="E272" t="str">
        <x:v>Sunfusion Semi-2</x:v>
      </x:c>
      <x:c r="F272" t="str">
        <x:v>GJ</x:v>
      </x:c>
      <x:c r="G272" t="str">
        <x:v>GJ</x:v>
      </x:c>
      <x:c r="H272" t="str">
        <x:v>2026-05-27</x:v>
      </x:c>
      <x:c r="I272" t="str">
        <x:v>5</x:v>
      </x:c>
      <x:c r="J272" t="str">
        <x:v>2026-10-27</x:v>
      </x:c>
      <x:c r="K272"/>
      <x:c r="L272" t="str">
        <x:v>2026-10-27</x:v>
      </x:c>
      <x:c r="M272" t="str">
        <x:v>151.0</x:v>
      </x:c>
      <x:c r="N272" t="str">
        <x:v>0.0</x:v>
      </x:c>
      <x:c r="O272" t="str">
        <x:v>เช่ายืม</x:v>
      </x:c>
      <x:c r="P272" t="str">
        <x:v>เช่ายืม</x:v>
      </x:c>
      <x:c r="Q272" t="str">
        <x:v>อยู่ระหว่างเช่ายืม</x:v>
      </x:c>
      <x:c r="R272"/>
      <x:c r="S272" t="str">
        <x:v>272.0</x:v>
      </x:c>
    </x:row>
    <x:row r="273">
      <x:c r="A273" t="str">
        <x:v>R0272</x:v>
      </x:c>
      <x:c r="B273" t="str">
        <x:v>CESR00207</x:v>
      </x:c>
      <x:c r="C273" t="str">
        <x:v>21123060079</x:v>
      </x:c>
      <x:c r="D273" t="str">
        <x:v>BYOND</x:v>
      </x:c>
      <x:c r="E273" t="str">
        <x:v>Sunfusion Semi-2</x:v>
      </x:c>
      <x:c r="F273" t="str">
        <x:v>GJ</x:v>
      </x:c>
      <x:c r="G273" t="str">
        <x:v>GJ</x:v>
      </x:c>
      <x:c r="H273" t="str">
        <x:v>2026-05-27</x:v>
      </x:c>
      <x:c r="I273" t="str">
        <x:v>5</x:v>
      </x:c>
      <x:c r="J273" t="str">
        <x:v>2026-10-27</x:v>
      </x:c>
      <x:c r="K273"/>
      <x:c r="L273" t="str">
        <x:v>2026-10-27</x:v>
      </x:c>
      <x:c r="M273" t="str">
        <x:v>151.0</x:v>
      </x:c>
      <x:c r="N273" t="str">
        <x:v>0.0</x:v>
      </x:c>
      <x:c r="O273" t="str">
        <x:v>เช่ายืม</x:v>
      </x:c>
      <x:c r="P273" t="str">
        <x:v>เช่ายืม</x:v>
      </x:c>
      <x:c r="Q273" t="str">
        <x:v>อยู่ระหว่างเช่ายืม</x:v>
      </x:c>
      <x:c r="R273"/>
      <x:c r="S273" t="str">
        <x:v>273.0</x:v>
      </x:c>
    </x:row>
    <x:row r="274">
      <x:c r="A274" t="str">
        <x:v>R0273</x:v>
      </x:c>
      <x:c r="B274" t="str">
        <x:v>CESR00219</x:v>
      </x:c>
      <x:c r="C274" t="str">
        <x:v>21123060092</x:v>
      </x:c>
      <x:c r="D274" t="str">
        <x:v>BYOND</x:v>
      </x:c>
      <x:c r="E274" t="str">
        <x:v>Sunfusion Semi-2</x:v>
      </x:c>
      <x:c r="F274" t="str">
        <x:v>GJ</x:v>
      </x:c>
      <x:c r="G274" t="str">
        <x:v>GJ</x:v>
      </x:c>
      <x:c r="H274" t="str">
        <x:v>2026-05-27</x:v>
      </x:c>
      <x:c r="I274" t="str">
        <x:v>5</x:v>
      </x:c>
      <x:c r="J274" t="str">
        <x:v>2026-10-27</x:v>
      </x:c>
      <x:c r="K274"/>
      <x:c r="L274" t="str">
        <x:v>2026-10-27</x:v>
      </x:c>
      <x:c r="M274" t="str">
        <x:v>151.0</x:v>
      </x:c>
      <x:c r="N274" t="str">
        <x:v>0.0</x:v>
      </x:c>
      <x:c r="O274" t="str">
        <x:v>เช่ายืม</x:v>
      </x:c>
      <x:c r="P274" t="str">
        <x:v>เช่ายืม</x:v>
      </x:c>
      <x:c r="Q274" t="str">
        <x:v>อยู่ระหว่างเช่ายืม</x:v>
      </x:c>
      <x:c r="R274"/>
      <x:c r="S274" t="str">
        <x:v>274.0</x:v>
      </x:c>
    </x:row>
    <x:row r="275">
      <x:c r="A275" t="str">
        <x:v>R0274</x:v>
      </x:c>
      <x:c r="B275" t="str">
        <x:v>CESR00128</x:v>
      </x:c>
      <x:c r="C275" t="str">
        <x:v>21123050145</x:v>
      </x:c>
      <x:c r="D275" t="str">
        <x:v>BYOND</x:v>
      </x:c>
      <x:c r="E275" t="str">
        <x:v>Sunfusion Semi-2</x:v>
      </x:c>
      <x:c r="F275" t="str">
        <x:v>GJ</x:v>
      </x:c>
      <x:c r="G275" t="str">
        <x:v>GJ</x:v>
      </x:c>
      <x:c r="H275" t="str">
        <x:v>2026-05-27</x:v>
      </x:c>
      <x:c r="I275" t="str">
        <x:v>5</x:v>
      </x:c>
      <x:c r="J275" t="str">
        <x:v>2026-10-27</x:v>
      </x:c>
      <x:c r="K275"/>
      <x:c r="L275" t="str">
        <x:v>2026-10-27</x:v>
      </x:c>
      <x:c r="M275" t="str">
        <x:v>151.0</x:v>
      </x:c>
      <x:c r="N275" t="str">
        <x:v>0.0</x:v>
      </x:c>
      <x:c r="O275" t="str">
        <x:v>เช่ายืม</x:v>
      </x:c>
      <x:c r="P275" t="str">
        <x:v>เช่ายืม</x:v>
      </x:c>
      <x:c r="Q275" t="str">
        <x:v>อยู่ระหว่างเช่ายืม</x:v>
      </x:c>
      <x:c r="R275"/>
      <x:c r="S275" t="str">
        <x:v>275.0</x:v>
      </x:c>
    </x:row>
    <x:row r="276">
      <x:c r="A276" t="str">
        <x:v>R0275</x:v>
      </x:c>
      <x:c r="B276" t="str">
        <x:v>CESR00172</x:v>
      </x:c>
      <x:c r="C276" t="str">
        <x:v>21123060042</x:v>
      </x:c>
      <x:c r="D276" t="str">
        <x:v>BYOND</x:v>
      </x:c>
      <x:c r="E276" t="str">
        <x:v>Sunfusion Semi-2</x:v>
      </x:c>
      <x:c r="F276" t="str">
        <x:v>GJ</x:v>
      </x:c>
      <x:c r="G276" t="str">
        <x:v>GJ</x:v>
      </x:c>
      <x:c r="H276" t="str">
        <x:v>2026-05-27</x:v>
      </x:c>
      <x:c r="I276" t="str">
        <x:v>5</x:v>
      </x:c>
      <x:c r="J276" t="str">
        <x:v>2026-10-27</x:v>
      </x:c>
      <x:c r="K276"/>
      <x:c r="L276" t="str">
        <x:v>2026-10-27</x:v>
      </x:c>
      <x:c r="M276" t="str">
        <x:v>151.0</x:v>
      </x:c>
      <x:c r="N276" t="str">
        <x:v>0.0</x:v>
      </x:c>
      <x:c r="O276" t="str">
        <x:v>เช่ายืม</x:v>
      </x:c>
      <x:c r="P276" t="str">
        <x:v>เช่ายืม</x:v>
      </x:c>
      <x:c r="Q276" t="str">
        <x:v>อยู่ระหว่างเช่ายืม</x:v>
      </x:c>
      <x:c r="R276"/>
      <x:c r="S276" t="str">
        <x:v>276.0</x:v>
      </x:c>
    </x:row>
    <x:row r="277">
      <x:c r="A277" t="str">
        <x:v>R0276</x:v>
      </x:c>
      <x:c r="B277" t="str">
        <x:v>CESR00220</x:v>
      </x:c>
      <x:c r="C277" t="str">
        <x:v>21123060094</x:v>
      </x:c>
      <x:c r="D277" t="str">
        <x:v>BYOND</x:v>
      </x:c>
      <x:c r="E277" t="str">
        <x:v>Sunfusion Semi-2</x:v>
      </x:c>
      <x:c r="F277" t="str">
        <x:v>GJ</x:v>
      </x:c>
      <x:c r="G277" t="str">
        <x:v>GJ</x:v>
      </x:c>
      <x:c r="H277" t="str">
        <x:v>2026-05-27</x:v>
      </x:c>
      <x:c r="I277" t="str">
        <x:v>5</x:v>
      </x:c>
      <x:c r="J277" t="str">
        <x:v>2026-10-27</x:v>
      </x:c>
      <x:c r="K277"/>
      <x:c r="L277" t="str">
        <x:v>2026-10-27</x:v>
      </x:c>
      <x:c r="M277" t="str">
        <x:v>151.0</x:v>
      </x:c>
      <x:c r="N277" t="str">
        <x:v>0.0</x:v>
      </x:c>
      <x:c r="O277" t="str">
        <x:v>เช่ายืม</x:v>
      </x:c>
      <x:c r="P277" t="str">
        <x:v>เช่ายืม</x:v>
      </x:c>
      <x:c r="Q277" t="str">
        <x:v>อยู่ระหว่างเช่ายืม</x:v>
      </x:c>
      <x:c r="R277"/>
      <x:c r="S277" t="str">
        <x:v>277.0</x:v>
      </x:c>
    </x:row>
    <x:row r="278">
      <x:c r="A278" t="str">
        <x:v>R0277</x:v>
      </x:c>
      <x:c r="B278" t="str">
        <x:v>CESR00015</x:v>
      </x:c>
      <x:c r="C278" t="str">
        <x:v>21122120401</x:v>
      </x:c>
      <x:c r="D278" t="str">
        <x:v>BYOND</x:v>
      </x:c>
      <x:c r="E278" t="str">
        <x:v>Sunfusion Semi-2</x:v>
      </x:c>
      <x:c r="F278" t="str">
        <x:v>GJ</x:v>
      </x:c>
      <x:c r="G278" t="str">
        <x:v>GJ</x:v>
      </x:c>
      <x:c r="H278" t="str">
        <x:v>2026-05-27</x:v>
      </x:c>
      <x:c r="I278" t="str">
        <x:v>5</x:v>
      </x:c>
      <x:c r="J278" t="str">
        <x:v>2026-10-27</x:v>
      </x:c>
      <x:c r="K278"/>
      <x:c r="L278" t="str">
        <x:v>2026-10-27</x:v>
      </x:c>
      <x:c r="M278" t="str">
        <x:v>151.0</x:v>
      </x:c>
      <x:c r="N278" t="str">
        <x:v>0.0</x:v>
      </x:c>
      <x:c r="O278" t="str">
        <x:v>เช่ายืม</x:v>
      </x:c>
      <x:c r="P278" t="str">
        <x:v>เช่ายืม</x:v>
      </x:c>
      <x:c r="Q278" t="str">
        <x:v>อยู่ระหว่างเช่ายืม</x:v>
      </x:c>
      <x:c r="R278"/>
      <x:c r="S278" t="str">
        <x:v>278.0</x:v>
      </x:c>
    </x:row>
    <x:row r="279">
      <x:c r="A279" t="str">
        <x:v>R0278</x:v>
      </x:c>
      <x:c r="B279" t="str">
        <x:v>CESR00052</x:v>
      </x:c>
      <x:c r="C279" t="str">
        <x:v>21123050057</x:v>
      </x:c>
      <x:c r="D279" t="str">
        <x:v>BYOND</x:v>
      </x:c>
      <x:c r="E279" t="str">
        <x:v>Sunfusion Semi-2</x:v>
      </x:c>
      <x:c r="F279" t="str">
        <x:v>GJ</x:v>
      </x:c>
      <x:c r="G279" t="str">
        <x:v>GJ</x:v>
      </x:c>
      <x:c r="H279" t="str">
        <x:v>2026-05-27</x:v>
      </x:c>
      <x:c r="I279" t="str">
        <x:v>5</x:v>
      </x:c>
      <x:c r="J279" t="str">
        <x:v>2026-10-27</x:v>
      </x:c>
      <x:c r="K279"/>
      <x:c r="L279" t="str">
        <x:v>2026-10-27</x:v>
      </x:c>
      <x:c r="M279" t="str">
        <x:v>151.0</x:v>
      </x:c>
      <x:c r="N279" t="str">
        <x:v>0.0</x:v>
      </x:c>
      <x:c r="O279" t="str">
        <x:v>เช่ายืม</x:v>
      </x:c>
      <x:c r="P279" t="str">
        <x:v>เช่ายืม</x:v>
      </x:c>
      <x:c r="Q279" t="str">
        <x:v>อยู่ระหว่างเช่ายืม</x:v>
      </x:c>
      <x:c r="R279"/>
      <x:c r="S279" t="str">
        <x:v>279.0</x:v>
      </x:c>
    </x:row>
    <x:row r="280">
      <x:c r="A280" t="str">
        <x:v>R0279</x:v>
      </x:c>
      <x:c r="B280" t="str">
        <x:v>CESR00061</x:v>
      </x:c>
      <x:c r="C280" t="str">
        <x:v>21123050068</x:v>
      </x:c>
      <x:c r="D280" t="str">
        <x:v>BYOND</x:v>
      </x:c>
      <x:c r="E280" t="str">
        <x:v>Sunfusion Semi-2</x:v>
      </x:c>
      <x:c r="F280" t="str">
        <x:v>GJ</x:v>
      </x:c>
      <x:c r="G280" t="str">
        <x:v>GJ</x:v>
      </x:c>
      <x:c r="H280" t="str">
        <x:v>2026-05-27</x:v>
      </x:c>
      <x:c r="I280" t="str">
        <x:v>5</x:v>
      </x:c>
      <x:c r="J280" t="str">
        <x:v>2026-10-27</x:v>
      </x:c>
      <x:c r="K280"/>
      <x:c r="L280" t="str">
        <x:v>2026-10-27</x:v>
      </x:c>
      <x:c r="M280" t="str">
        <x:v>151.0</x:v>
      </x:c>
      <x:c r="N280" t="str">
        <x:v>0.0</x:v>
      </x:c>
      <x:c r="O280" t="str">
        <x:v>เช่ายืม</x:v>
      </x:c>
      <x:c r="P280" t="str">
        <x:v>เช่ายืม</x:v>
      </x:c>
      <x:c r="Q280" t="str">
        <x:v>อยู่ระหว่างเช่ายืม</x:v>
      </x:c>
      <x:c r="R280"/>
      <x:c r="S280" t="str">
        <x:v>280.0</x:v>
      </x:c>
    </x:row>
    <x:row r="281">
      <x:c r="A281" t="str">
        <x:v>R0280</x:v>
      </x:c>
      <x:c r="B281" t="str">
        <x:v>CESR00045</x:v>
      </x:c>
      <x:c r="C281" t="str">
        <x:v>21123050048</x:v>
      </x:c>
      <x:c r="D281" t="str">
        <x:v>BYOND</x:v>
      </x:c>
      <x:c r="E281" t="str">
        <x:v>Sunfusion Semi-2</x:v>
      </x:c>
      <x:c r="F281" t="str">
        <x:v>GJ</x:v>
      </x:c>
      <x:c r="G281" t="str">
        <x:v>GJ</x:v>
      </x:c>
      <x:c r="H281" t="str">
        <x:v>2026-05-27</x:v>
      </x:c>
      <x:c r="I281" t="str">
        <x:v>5</x:v>
      </x:c>
      <x:c r="J281" t="str">
        <x:v>2026-10-27</x:v>
      </x:c>
      <x:c r="K281"/>
      <x:c r="L281" t="str">
        <x:v>2026-10-27</x:v>
      </x:c>
      <x:c r="M281" t="str">
        <x:v>151.0</x:v>
      </x:c>
      <x:c r="N281" t="str">
        <x:v>0.0</x:v>
      </x:c>
      <x:c r="O281" t="str">
        <x:v>เช่ายืม</x:v>
      </x:c>
      <x:c r="P281" t="str">
        <x:v>เช่ายืม</x:v>
      </x:c>
      <x:c r="Q281" t="str">
        <x:v>อยู่ระหว่างเช่ายืม</x:v>
      </x:c>
      <x:c r="R281"/>
      <x:c r="S281" t="str">
        <x:v>281.0</x:v>
      </x:c>
    </x:row>
    <x:row r="282">
      <x:c r="A282" t="str">
        <x:v>R0281</x:v>
      </x:c>
      <x:c r="B282" t="str">
        <x:v>CESR00056</x:v>
      </x:c>
      <x:c r="C282" t="str">
        <x:v>21123050062</x:v>
      </x:c>
      <x:c r="D282" t="str">
        <x:v>BYOND</x:v>
      </x:c>
      <x:c r="E282" t="str">
        <x:v>Sunfusion Semi-2</x:v>
      </x:c>
      <x:c r="F282" t="str">
        <x:v>GJ</x:v>
      </x:c>
      <x:c r="G282" t="str">
        <x:v>GJ</x:v>
      </x:c>
      <x:c r="H282" t="str">
        <x:v>2026-05-27</x:v>
      </x:c>
      <x:c r="I282" t="str">
        <x:v>5</x:v>
      </x:c>
      <x:c r="J282" t="str">
        <x:v>2026-10-27</x:v>
      </x:c>
      <x:c r="K282"/>
      <x:c r="L282" t="str">
        <x:v>2026-10-27</x:v>
      </x:c>
      <x:c r="M282" t="str">
        <x:v>151.0</x:v>
      </x:c>
      <x:c r="N282" t="str">
        <x:v>0.0</x:v>
      </x:c>
      <x:c r="O282" t="str">
        <x:v>เช่ายืม</x:v>
      </x:c>
      <x:c r="P282" t="str">
        <x:v>เช่ายืม</x:v>
      </x:c>
      <x:c r="Q282" t="str">
        <x:v>อยู่ระหว่างเช่ายืม</x:v>
      </x:c>
      <x:c r="R282"/>
      <x:c r="S282" t="str">
        <x:v>282.0</x:v>
      </x:c>
    </x:row>
    <x:row r="283">
      <x:c r="A283" t="str">
        <x:v>R0282</x:v>
      </x:c>
      <x:c r="B283" t="str">
        <x:v>CESR00193</x:v>
      </x:c>
      <x:c r="C283" t="str">
        <x:v>21123060063</x:v>
      </x:c>
      <x:c r="D283" t="str">
        <x:v>BYOND</x:v>
      </x:c>
      <x:c r="E283" t="str">
        <x:v>Sunfusion Semi-2</x:v>
      </x:c>
      <x:c r="F283" t="str">
        <x:v>GJ</x:v>
      </x:c>
      <x:c r="G283" t="str">
        <x:v>GJ</x:v>
      </x:c>
      <x:c r="H283" t="str">
        <x:v>2026-05-27</x:v>
      </x:c>
      <x:c r="I283" t="str">
        <x:v>5</x:v>
      </x:c>
      <x:c r="J283" t="str">
        <x:v>2026-10-27</x:v>
      </x:c>
      <x:c r="K283"/>
      <x:c r="L283" t="str">
        <x:v>2026-10-27</x:v>
      </x:c>
      <x:c r="M283" t="str">
        <x:v>151.0</x:v>
      </x:c>
      <x:c r="N283" t="str">
        <x:v>0.0</x:v>
      </x:c>
      <x:c r="O283" t="str">
        <x:v>เช่ายืม</x:v>
      </x:c>
      <x:c r="P283" t="str">
        <x:v>เช่ายืม</x:v>
      </x:c>
      <x:c r="Q283" t="str">
        <x:v>อยู่ระหว่างเช่ายืม</x:v>
      </x:c>
      <x:c r="R283"/>
      <x:c r="S283" t="str">
        <x:v>283.0</x:v>
      </x:c>
    </x:row>
    <x:row r="284">
      <x:c r="A284" t="str">
        <x:v>R0283</x:v>
      </x:c>
      <x:c r="B284" t="str">
        <x:v>CESR00170</x:v>
      </x:c>
      <x:c r="C284" t="str">
        <x:v>21123060039</x:v>
      </x:c>
      <x:c r="D284" t="str">
        <x:v>BYOND</x:v>
      </x:c>
      <x:c r="E284" t="str">
        <x:v>Sunfusion Semi-2</x:v>
      </x:c>
      <x:c r="F284" t="str">
        <x:v>GJ</x:v>
      </x:c>
      <x:c r="G284" t="str">
        <x:v>GJ</x:v>
      </x:c>
      <x:c r="H284" t="str">
        <x:v>2026-05-27</x:v>
      </x:c>
      <x:c r="I284" t="str">
        <x:v>5</x:v>
      </x:c>
      <x:c r="J284" t="str">
        <x:v>2026-10-27</x:v>
      </x:c>
      <x:c r="K284"/>
      <x:c r="L284" t="str">
        <x:v>2026-10-27</x:v>
      </x:c>
      <x:c r="M284" t="str">
        <x:v>151.0</x:v>
      </x:c>
      <x:c r="N284" t="str">
        <x:v>0.0</x:v>
      </x:c>
      <x:c r="O284" t="str">
        <x:v>เช่ายืม</x:v>
      </x:c>
      <x:c r="P284" t="str">
        <x:v>เช่ายืม</x:v>
      </x:c>
      <x:c r="Q284" t="str">
        <x:v>อยู่ระหว่างเช่ายืม</x:v>
      </x:c>
      <x:c r="R284"/>
      <x:c r="S284" t="str">
        <x:v>284.0</x:v>
      </x:c>
    </x:row>
    <x:row r="285">
      <x:c r="A285" t="str">
        <x:v>R0284</x:v>
      </x:c>
      <x:c r="B285" t="str">
        <x:v>CESR00059</x:v>
      </x:c>
      <x:c r="C285" t="str">
        <x:v>21123050066</x:v>
      </x:c>
      <x:c r="D285" t="str">
        <x:v>BYOND</x:v>
      </x:c>
      <x:c r="E285" t="str">
        <x:v>Sunfusion Semi-2</x:v>
      </x:c>
      <x:c r="F285" t="str">
        <x:v>GJ</x:v>
      </x:c>
      <x:c r="G285" t="str">
        <x:v>GJ</x:v>
      </x:c>
      <x:c r="H285" t="str">
        <x:v>2026-05-27</x:v>
      </x:c>
      <x:c r="I285" t="str">
        <x:v>5</x:v>
      </x:c>
      <x:c r="J285" t="str">
        <x:v>2026-10-27</x:v>
      </x:c>
      <x:c r="K285"/>
      <x:c r="L285" t="str">
        <x:v>2026-10-27</x:v>
      </x:c>
      <x:c r="M285" t="str">
        <x:v>151.0</x:v>
      </x:c>
      <x:c r="N285" t="str">
        <x:v>0.0</x:v>
      </x:c>
      <x:c r="O285" t="str">
        <x:v>เช่ายืม</x:v>
      </x:c>
      <x:c r="P285" t="str">
        <x:v>เช่ายืม</x:v>
      </x:c>
      <x:c r="Q285" t="str">
        <x:v>อยู่ระหว่างเช่ายืม</x:v>
      </x:c>
      <x:c r="R285"/>
      <x:c r="S285" t="str">
        <x:v>285.0</x:v>
      </x:c>
    </x:row>
    <x:row r="286">
      <x:c r="A286" t="str">
        <x:v>R0285</x:v>
      </x:c>
      <x:c r="B286" t="str">
        <x:v>CESR00218</x:v>
      </x:c>
      <x:c r="C286" t="str">
        <x:v>21123060091</x:v>
      </x:c>
      <x:c r="D286" t="str">
        <x:v>BYOND</x:v>
      </x:c>
      <x:c r="E286" t="str">
        <x:v>Sunfusion Semi-2</x:v>
      </x:c>
      <x:c r="F286" t="str">
        <x:v>GJ</x:v>
      </x:c>
      <x:c r="G286" t="str">
        <x:v>GJ</x:v>
      </x:c>
      <x:c r="H286" t="str">
        <x:v>2026-05-27</x:v>
      </x:c>
      <x:c r="I286" t="str">
        <x:v>5</x:v>
      </x:c>
      <x:c r="J286" t="str">
        <x:v>2026-10-27</x:v>
      </x:c>
      <x:c r="K286"/>
      <x:c r="L286" t="str">
        <x:v>2026-10-27</x:v>
      </x:c>
      <x:c r="M286" t="str">
        <x:v>151.0</x:v>
      </x:c>
      <x:c r="N286" t="str">
        <x:v>0.0</x:v>
      </x:c>
      <x:c r="O286" t="str">
        <x:v>เช่ายืม</x:v>
      </x:c>
      <x:c r="P286" t="str">
        <x:v>เช่ายืม</x:v>
      </x:c>
      <x:c r="Q286" t="str">
        <x:v>อยู่ระหว่างเช่ายืม</x:v>
      </x:c>
      <x:c r="R286"/>
      <x:c r="S286" t="str">
        <x:v>286.0</x:v>
      </x:c>
    </x:row>
    <x:row r="287">
      <x:c r="A287" t="str">
        <x:v>R0286</x:v>
      </x:c>
      <x:c r="B287" t="str">
        <x:v>CESR00203</x:v>
      </x:c>
      <x:c r="C287" t="str">
        <x:v>21123060075</x:v>
      </x:c>
      <x:c r="D287" t="str">
        <x:v>BYOND</x:v>
      </x:c>
      <x:c r="E287" t="str">
        <x:v>Sunfusion Semi-2</x:v>
      </x:c>
      <x:c r="F287" t="str">
        <x:v>GJ</x:v>
      </x:c>
      <x:c r="G287" t="str">
        <x:v>GJ</x:v>
      </x:c>
      <x:c r="H287" t="str">
        <x:v>2026-05-27</x:v>
      </x:c>
      <x:c r="I287" t="str">
        <x:v>5</x:v>
      </x:c>
      <x:c r="J287" t="str">
        <x:v>2026-10-27</x:v>
      </x:c>
      <x:c r="K287"/>
      <x:c r="L287" t="str">
        <x:v>2026-10-27</x:v>
      </x:c>
      <x:c r="M287" t="str">
        <x:v>151.0</x:v>
      </x:c>
      <x:c r="N287" t="str">
        <x:v>0.0</x:v>
      </x:c>
      <x:c r="O287" t="str">
        <x:v>เช่ายืม</x:v>
      </x:c>
      <x:c r="P287" t="str">
        <x:v>เช่ายืม</x:v>
      </x:c>
      <x:c r="Q287" t="str">
        <x:v>อยู่ระหว่างเช่ายืม</x:v>
      </x:c>
      <x:c r="R287"/>
      <x:c r="S287" t="str">
        <x:v>287.0</x:v>
      </x:c>
    </x:row>
    <x:row r="288">
      <x:c r="A288" t="str">
        <x:v>R0287</x:v>
      </x:c>
      <x:c r="B288" t="str">
        <x:v>CESR00177</x:v>
      </x:c>
      <x:c r="C288" t="str">
        <x:v>21123060047</x:v>
      </x:c>
      <x:c r="D288" t="str">
        <x:v>BYOND</x:v>
      </x:c>
      <x:c r="E288" t="str">
        <x:v>Sunfusion Semi-2</x:v>
      </x:c>
      <x:c r="F288" t="str">
        <x:v>GJ</x:v>
      </x:c>
      <x:c r="G288" t="str">
        <x:v>GJ</x:v>
      </x:c>
      <x:c r="H288" t="str">
        <x:v>2026-05-27</x:v>
      </x:c>
      <x:c r="I288" t="str">
        <x:v>5</x:v>
      </x:c>
      <x:c r="J288" t="str">
        <x:v>2026-10-27</x:v>
      </x:c>
      <x:c r="K288"/>
      <x:c r="L288" t="str">
        <x:v>2026-10-27</x:v>
      </x:c>
      <x:c r="M288" t="str">
        <x:v>151.0</x:v>
      </x:c>
      <x:c r="N288" t="str">
        <x:v>0.0</x:v>
      </x:c>
      <x:c r="O288" t="str">
        <x:v>เช่ายืม</x:v>
      </x:c>
      <x:c r="P288" t="str">
        <x:v>เช่ายืม</x:v>
      </x:c>
      <x:c r="Q288" t="str">
        <x:v>อยู่ระหว่างเช่ายืม</x:v>
      </x:c>
      <x:c r="R288"/>
      <x:c r="S288" t="str">
        <x:v>288.0</x:v>
      </x:c>
    </x:row>
    <x:row r="289">
      <x:c r="A289" t="str">
        <x:v>R0288</x:v>
      </x:c>
      <x:c r="B289" t="str">
        <x:v>CESR00206</x:v>
      </x:c>
      <x:c r="C289" t="str">
        <x:v>21123060078</x:v>
      </x:c>
      <x:c r="D289" t="str">
        <x:v>BYOND</x:v>
      </x:c>
      <x:c r="E289" t="str">
        <x:v>Sunfusion Semi-2</x:v>
      </x:c>
      <x:c r="F289" t="str">
        <x:v>GJ</x:v>
      </x:c>
      <x:c r="G289" t="str">
        <x:v>GJ</x:v>
      </x:c>
      <x:c r="H289" t="str">
        <x:v>2026-05-27</x:v>
      </x:c>
      <x:c r="I289" t="str">
        <x:v>5</x:v>
      </x:c>
      <x:c r="J289" t="str">
        <x:v>2026-10-27</x:v>
      </x:c>
      <x:c r="K289"/>
      <x:c r="L289" t="str">
        <x:v>2026-10-27</x:v>
      </x:c>
      <x:c r="M289" t="str">
        <x:v>151.0</x:v>
      </x:c>
      <x:c r="N289" t="str">
        <x:v>0.0</x:v>
      </x:c>
      <x:c r="O289" t="str">
        <x:v>เช่ายืม</x:v>
      </x:c>
      <x:c r="P289" t="str">
        <x:v>เช่ายืม</x:v>
      </x:c>
      <x:c r="Q289" t="str">
        <x:v>อยู่ระหว่างเช่ายืม</x:v>
      </x:c>
      <x:c r="R289"/>
      <x:c r="S289" t="str">
        <x:v>289.0</x:v>
      </x:c>
    </x:row>
    <x:row r="290">
      <x:c r="A290" t="str">
        <x:v>R0289</x:v>
      </x:c>
      <x:c r="B290" t="str">
        <x:v>CESR00108</x:v>
      </x:c>
      <x:c r="C290" t="str">
        <x:v>21123050122</x:v>
      </x:c>
      <x:c r="D290" t="str">
        <x:v>BYOND</x:v>
      </x:c>
      <x:c r="E290" t="str">
        <x:v>Sunfusion Semi-2</x:v>
      </x:c>
      <x:c r="F290" t="str">
        <x:v>GJ</x:v>
      </x:c>
      <x:c r="G290" t="str">
        <x:v>GJ</x:v>
      </x:c>
      <x:c r="H290" t="str">
        <x:v>2026-05-27</x:v>
      </x:c>
      <x:c r="I290" t="str">
        <x:v>5</x:v>
      </x:c>
      <x:c r="J290" t="str">
        <x:v>2026-10-27</x:v>
      </x:c>
      <x:c r="K290"/>
      <x:c r="L290" t="str">
        <x:v>2026-10-27</x:v>
      </x:c>
      <x:c r="M290" t="str">
        <x:v>151.0</x:v>
      </x:c>
      <x:c r="N290" t="str">
        <x:v>0.0</x:v>
      </x:c>
      <x:c r="O290" t="str">
        <x:v>เช่ายืม</x:v>
      </x:c>
      <x:c r="P290" t="str">
        <x:v>เช่ายืม</x:v>
      </x:c>
      <x:c r="Q290" t="str">
        <x:v>อยู่ระหว่างเช่ายืม</x:v>
      </x:c>
      <x:c r="R290"/>
      <x:c r="S290" t="str">
        <x:v>290.0</x:v>
      </x:c>
    </x:row>
    <x:row r="291">
      <x:c r="A291" t="str">
        <x:v>R0290</x:v>
      </x:c>
      <x:c r="B291" t="str">
        <x:v>CESR00204</x:v>
      </x:c>
      <x:c r="C291" t="str">
        <x:v>21123060076</x:v>
      </x:c>
      <x:c r="D291" t="str">
        <x:v>BYOND</x:v>
      </x:c>
      <x:c r="E291" t="str">
        <x:v>Sunfusion Semi-2</x:v>
      </x:c>
      <x:c r="F291" t="str">
        <x:v>GJ</x:v>
      </x:c>
      <x:c r="G291" t="str">
        <x:v>GJ</x:v>
      </x:c>
      <x:c r="H291" t="str">
        <x:v>2026-05-27</x:v>
      </x:c>
      <x:c r="I291" t="str">
        <x:v>5</x:v>
      </x:c>
      <x:c r="J291" t="str">
        <x:v>2026-10-27</x:v>
      </x:c>
      <x:c r="K291"/>
      <x:c r="L291" t="str">
        <x:v>2026-10-27</x:v>
      </x:c>
      <x:c r="M291" t="str">
        <x:v>151.0</x:v>
      </x:c>
      <x:c r="N291" t="str">
        <x:v>0.0</x:v>
      </x:c>
      <x:c r="O291" t="str">
        <x:v>เช่ายืม</x:v>
      </x:c>
      <x:c r="P291" t="str">
        <x:v>เช่ายืม</x:v>
      </x:c>
      <x:c r="Q291" t="str">
        <x:v>อยู่ระหว่างเช่ายืม</x:v>
      </x:c>
      <x:c r="R291"/>
      <x:c r="S291" t="str">
        <x:v>291.0</x:v>
      </x:c>
    </x:row>
    <x:row r="292">
      <x:c r="A292" t="str">
        <x:v>R0291</x:v>
      </x:c>
      <x:c r="B292" t="str">
        <x:v>CESR00068</x:v>
      </x:c>
      <x:c r="C292" t="str">
        <x:v>21123050077</x:v>
      </x:c>
      <x:c r="D292" t="str">
        <x:v>BYOND</x:v>
      </x:c>
      <x:c r="E292" t="str">
        <x:v>Sunfusion Semi-2</x:v>
      </x:c>
      <x:c r="F292" t="str">
        <x:v>GJ</x:v>
      </x:c>
      <x:c r="G292" t="str">
        <x:v>GJ</x:v>
      </x:c>
      <x:c r="H292" t="str">
        <x:v>2026-05-27</x:v>
      </x:c>
      <x:c r="I292" t="str">
        <x:v>5</x:v>
      </x:c>
      <x:c r="J292" t="str">
        <x:v>2026-10-27</x:v>
      </x:c>
      <x:c r="K292"/>
      <x:c r="L292" t="str">
        <x:v>2026-10-27</x:v>
      </x:c>
      <x:c r="M292" t="str">
        <x:v>151.0</x:v>
      </x:c>
      <x:c r="N292" t="str">
        <x:v>0.0</x:v>
      </x:c>
      <x:c r="O292" t="str">
        <x:v>เช่ายืม</x:v>
      </x:c>
      <x:c r="P292" t="str">
        <x:v>เช่ายืม</x:v>
      </x:c>
      <x:c r="Q292" t="str">
        <x:v>อยู่ระหว่างเช่ายืม</x:v>
      </x:c>
      <x:c r="R292"/>
      <x:c r="S292" t="str">
        <x:v>292.0</x:v>
      </x:c>
    </x:row>
    <x:row r="293">
      <x:c r="A293" t="str">
        <x:v>R0292</x:v>
      </x:c>
      <x:c r="B293" t="str">
        <x:v>CESR00217</x:v>
      </x:c>
      <x:c r="C293" t="str">
        <x:v>21123060090</x:v>
      </x:c>
      <x:c r="D293" t="str">
        <x:v>BYOND</x:v>
      </x:c>
      <x:c r="E293" t="str">
        <x:v>Sunfusion Semi-2</x:v>
      </x:c>
      <x:c r="F293" t="str">
        <x:v>GJ</x:v>
      </x:c>
      <x:c r="G293" t="str">
        <x:v>GJ</x:v>
      </x:c>
      <x:c r="H293" t="str">
        <x:v>2026-05-27</x:v>
      </x:c>
      <x:c r="I293" t="str">
        <x:v>5</x:v>
      </x:c>
      <x:c r="J293" t="str">
        <x:v>2026-10-27</x:v>
      </x:c>
      <x:c r="K293"/>
      <x:c r="L293" t="str">
        <x:v>2026-10-27</x:v>
      </x:c>
      <x:c r="M293" t="str">
        <x:v>151.0</x:v>
      </x:c>
      <x:c r="N293" t="str">
        <x:v>0.0</x:v>
      </x:c>
      <x:c r="O293" t="str">
        <x:v>เช่ายืม</x:v>
      </x:c>
      <x:c r="P293" t="str">
        <x:v>เช่ายืม</x:v>
      </x:c>
      <x:c r="Q293" t="str">
        <x:v>อยู่ระหว่างเช่ายืม</x:v>
      </x:c>
      <x:c r="R293"/>
      <x:c r="S293" t="str">
        <x:v>293.0</x:v>
      </x:c>
    </x:row>
    <x:row r="294">
      <x:c r="A294" t="str">
        <x:v>R0293</x:v>
      </x:c>
      <x:c r="B294" t="str">
        <x:v>CESR00090</x:v>
      </x:c>
      <x:c r="C294" t="str">
        <x:v>21123050102</x:v>
      </x:c>
      <x:c r="D294" t="str">
        <x:v>BYOND</x:v>
      </x:c>
      <x:c r="E294" t="str">
        <x:v>Sunfusion Semi-2</x:v>
      </x:c>
      <x:c r="F294" t="str">
        <x:v>GJ</x:v>
      </x:c>
      <x:c r="G294" t="str">
        <x:v>GJ</x:v>
      </x:c>
      <x:c r="H294" t="str">
        <x:v>2026-05-27</x:v>
      </x:c>
      <x:c r="I294" t="str">
        <x:v>5</x:v>
      </x:c>
      <x:c r="J294" t="str">
        <x:v>2026-10-27</x:v>
      </x:c>
      <x:c r="K294"/>
      <x:c r="L294" t="str">
        <x:v>2026-10-27</x:v>
      </x:c>
      <x:c r="M294" t="str">
        <x:v>151.0</x:v>
      </x:c>
      <x:c r="N294" t="str">
        <x:v>0.0</x:v>
      </x:c>
      <x:c r="O294" t="str">
        <x:v>เช่ายืม</x:v>
      </x:c>
      <x:c r="P294" t="str">
        <x:v>เช่ายืม</x:v>
      </x:c>
      <x:c r="Q294" t="str">
        <x:v>อยู่ระหว่างเช่ายืม</x:v>
      </x:c>
      <x:c r="R294"/>
      <x:c r="S294" t="str">
        <x:v>294.0</x:v>
      </x:c>
    </x:row>
    <x:row r="295">
      <x:c r="A295" t="str">
        <x:v>R0294</x:v>
      </x:c>
      <x:c r="B295" t="str">
        <x:v>CESR00084</x:v>
      </x:c>
      <x:c r="C295" t="str">
        <x:v>21123050095</x:v>
      </x:c>
      <x:c r="D295" t="str">
        <x:v>BYOND</x:v>
      </x:c>
      <x:c r="E295" t="str">
        <x:v>Sunfusion Semi-2</x:v>
      </x:c>
      <x:c r="F295" t="str">
        <x:v>GJ</x:v>
      </x:c>
      <x:c r="G295" t="str">
        <x:v>GJ</x:v>
      </x:c>
      <x:c r="H295" t="str">
        <x:v>2026-05-27</x:v>
      </x:c>
      <x:c r="I295" t="str">
        <x:v>5</x:v>
      </x:c>
      <x:c r="J295" t="str">
        <x:v>2026-10-27</x:v>
      </x:c>
      <x:c r="K295"/>
      <x:c r="L295" t="str">
        <x:v>2026-10-27</x:v>
      </x:c>
      <x:c r="M295" t="str">
        <x:v>151.0</x:v>
      </x:c>
      <x:c r="N295" t="str">
        <x:v>0.0</x:v>
      </x:c>
      <x:c r="O295" t="str">
        <x:v>เช่ายืม</x:v>
      </x:c>
      <x:c r="P295" t="str">
        <x:v>เช่ายืม</x:v>
      </x:c>
      <x:c r="Q295" t="str">
        <x:v>อยู่ระหว่างเช่ายืม</x:v>
      </x:c>
      <x:c r="R295"/>
      <x:c r="S295" t="str">
        <x:v>295.0</x:v>
      </x:c>
    </x:row>
    <x:row r="296">
      <x:c r="A296" t="str">
        <x:v>R0295</x:v>
      </x:c>
      <x:c r="B296" t="str">
        <x:v>CESR00123</x:v>
      </x:c>
      <x:c r="C296" t="str">
        <x:v>21123050139</x:v>
      </x:c>
      <x:c r="D296" t="str">
        <x:v>BYOND</x:v>
      </x:c>
      <x:c r="E296" t="str">
        <x:v>Sunfusion Semi-2</x:v>
      </x:c>
      <x:c r="F296" t="str">
        <x:v>GJ</x:v>
      </x:c>
      <x:c r="G296" t="str">
        <x:v>GJ</x:v>
      </x:c>
      <x:c r="H296" t="str">
        <x:v>2026-05-27</x:v>
      </x:c>
      <x:c r="I296" t="str">
        <x:v>5</x:v>
      </x:c>
      <x:c r="J296" t="str">
        <x:v>2026-10-27</x:v>
      </x:c>
      <x:c r="K296"/>
      <x:c r="L296" t="str">
        <x:v>2026-10-27</x:v>
      </x:c>
      <x:c r="M296" t="str">
        <x:v>151.0</x:v>
      </x:c>
      <x:c r="N296" t="str">
        <x:v>0.0</x:v>
      </x:c>
      <x:c r="O296" t="str">
        <x:v>เช่ายืม</x:v>
      </x:c>
      <x:c r="P296" t="str">
        <x:v>เช่ายืม</x:v>
      </x:c>
      <x:c r="Q296" t="str">
        <x:v>อยู่ระหว่างเช่ายืม</x:v>
      </x:c>
      <x:c r="R296"/>
      <x:c r="S296" t="str">
        <x:v>296.0</x:v>
      </x:c>
    </x:row>
    <x:row r="297">
      <x:c r="A297" t="str">
        <x:v>R0296</x:v>
      </x:c>
      <x:c r="B297" t="str">
        <x:v>CESR00101</x:v>
      </x:c>
      <x:c r="C297" t="str">
        <x:v>21123050113</x:v>
      </x:c>
      <x:c r="D297" t="str">
        <x:v>BYOND</x:v>
      </x:c>
      <x:c r="E297" t="str">
        <x:v>Sunfusion Semi-2</x:v>
      </x:c>
      <x:c r="F297" t="str">
        <x:v>GJ</x:v>
      </x:c>
      <x:c r="G297" t="str">
        <x:v>GJ</x:v>
      </x:c>
      <x:c r="H297" t="str">
        <x:v>2026-05-27</x:v>
      </x:c>
      <x:c r="I297" t="str">
        <x:v>5</x:v>
      </x:c>
      <x:c r="J297" t="str">
        <x:v>2026-10-27</x:v>
      </x:c>
      <x:c r="K297"/>
      <x:c r="L297" t="str">
        <x:v>2026-10-27</x:v>
      </x:c>
      <x:c r="M297" t="str">
        <x:v>151.0</x:v>
      </x:c>
      <x:c r="N297" t="str">
        <x:v>0.0</x:v>
      </x:c>
      <x:c r="O297" t="str">
        <x:v>เช่ายืม</x:v>
      </x:c>
      <x:c r="P297" t="str">
        <x:v>เช่ายืม</x:v>
      </x:c>
      <x:c r="Q297" t="str">
        <x:v>อยู่ระหว่างเช่ายืม</x:v>
      </x:c>
      <x:c r="R297"/>
      <x:c r="S297" t="str">
        <x:v>297.0</x:v>
      </x:c>
    </x:row>
    <x:row r="298">
      <x:c r="A298" t="str">
        <x:v>R0297</x:v>
      </x:c>
      <x:c r="B298" t="str">
        <x:v>CESR00005</x:v>
      </x:c>
      <x:c r="C298" t="str">
        <x:v>21123030200</x:v>
      </x:c>
      <x:c r="D298" t="str">
        <x:v>BYOND</x:v>
      </x:c>
      <x:c r="E298" t="str">
        <x:v>Sunfusion Semi-2</x:v>
      </x:c>
      <x:c r="F298" t="str">
        <x:v>GJ</x:v>
      </x:c>
      <x:c r="G298" t="str">
        <x:v>GJ</x:v>
      </x:c>
      <x:c r="H298" t="str">
        <x:v>2026-05-27</x:v>
      </x:c>
      <x:c r="I298" t="str">
        <x:v>5</x:v>
      </x:c>
      <x:c r="J298" t="str">
        <x:v>2026-10-27</x:v>
      </x:c>
      <x:c r="K298"/>
      <x:c r="L298" t="str">
        <x:v>2026-10-27</x:v>
      </x:c>
      <x:c r="M298" t="str">
        <x:v>151.0</x:v>
      </x:c>
      <x:c r="N298" t="str">
        <x:v>0.0</x:v>
      </x:c>
      <x:c r="O298" t="str">
        <x:v>เช่ายืม</x:v>
      </x:c>
      <x:c r="P298" t="str">
        <x:v>เช่ายืม</x:v>
      </x:c>
      <x:c r="Q298" t="str">
        <x:v>อยู่ระหว่างเช่ายืม</x:v>
      </x:c>
      <x:c r="R298"/>
      <x:c r="S298" t="str">
        <x:v>298.0</x:v>
      </x:c>
    </x:row>
    <x:row r="299">
      <x:c r="A299" t="str">
        <x:v>R0298</x:v>
      </x:c>
      <x:c r="B299" t="str">
        <x:v>CESR00129</x:v>
      </x:c>
      <x:c r="C299" t="str">
        <x:v>21123050146</x:v>
      </x:c>
      <x:c r="D299" t="str">
        <x:v>BYOND</x:v>
      </x:c>
      <x:c r="E299" t="str">
        <x:v>Sunfusion Semi-2</x:v>
      </x:c>
      <x:c r="F299" t="str">
        <x:v>GJ</x:v>
      </x:c>
      <x:c r="G299" t="str">
        <x:v>GJ</x:v>
      </x:c>
      <x:c r="H299" t="str">
        <x:v>2026-05-27</x:v>
      </x:c>
      <x:c r="I299" t="str">
        <x:v>5</x:v>
      </x:c>
      <x:c r="J299" t="str">
        <x:v>2026-10-27</x:v>
      </x:c>
      <x:c r="K299"/>
      <x:c r="L299" t="str">
        <x:v>2026-10-27</x:v>
      </x:c>
      <x:c r="M299" t="str">
        <x:v>151.0</x:v>
      </x:c>
      <x:c r="N299" t="str">
        <x:v>0.0</x:v>
      </x:c>
      <x:c r="O299" t="str">
        <x:v>เช่ายืม</x:v>
      </x:c>
      <x:c r="P299" t="str">
        <x:v>เช่ายืม</x:v>
      </x:c>
      <x:c r="Q299" t="str">
        <x:v>อยู่ระหว่างเช่ายืม</x:v>
      </x:c>
      <x:c r="R299"/>
      <x:c r="S299" t="str">
        <x:v>299.0</x:v>
      </x:c>
    </x:row>
    <x:row r="300">
      <x:c r="A300" t="str">
        <x:v>R0299</x:v>
      </x:c>
      <x:c r="B300" t="str">
        <x:v>CESR00135</x:v>
      </x:c>
      <x:c r="C300" t="str">
        <x:v>21123060003</x:v>
      </x:c>
      <x:c r="D300" t="str">
        <x:v>BYOND</x:v>
      </x:c>
      <x:c r="E300" t="str">
        <x:v>Sunfusion Semi-2</x:v>
      </x:c>
      <x:c r="F300" t="str">
        <x:v>GJ</x:v>
      </x:c>
      <x:c r="G300" t="str">
        <x:v>GJ</x:v>
      </x:c>
      <x:c r="H300" t="str">
        <x:v>2026-05-27</x:v>
      </x:c>
      <x:c r="I300" t="str">
        <x:v>5</x:v>
      </x:c>
      <x:c r="J300" t="str">
        <x:v>2026-10-27</x:v>
      </x:c>
      <x:c r="K300"/>
      <x:c r="L300" t="str">
        <x:v>2026-10-27</x:v>
      </x:c>
      <x:c r="M300" t="str">
        <x:v>151.0</x:v>
      </x:c>
      <x:c r="N300" t="str">
        <x:v>0.0</x:v>
      </x:c>
      <x:c r="O300" t="str">
        <x:v>เช่ายืม</x:v>
      </x:c>
      <x:c r="P300" t="str">
        <x:v>เช่ายืม</x:v>
      </x:c>
      <x:c r="Q300" t="str">
        <x:v>อยู่ระหว่างเช่ายืม</x:v>
      </x:c>
      <x:c r="R300"/>
      <x:c r="S300" t="str">
        <x:v>300.0</x:v>
      </x:c>
    </x:row>
    <x:row r="301">
      <x:c r="A301" t="str">
        <x:v>R0300</x:v>
      </x:c>
      <x:c r="B301" t="str">
        <x:v>CESR00161</x:v>
      </x:c>
      <x:c r="C301" t="str">
        <x:v>21123060030</x:v>
      </x:c>
      <x:c r="D301" t="str">
        <x:v>BYOND</x:v>
      </x:c>
      <x:c r="E301" t="str">
        <x:v>Sunfusion Semi-2</x:v>
      </x:c>
      <x:c r="F301" t="str">
        <x:v>GJ</x:v>
      </x:c>
      <x:c r="G301" t="str">
        <x:v>GJ</x:v>
      </x:c>
      <x:c r="H301" t="str">
        <x:v>2026-05-27</x:v>
      </x:c>
      <x:c r="I301" t="str">
        <x:v>5</x:v>
      </x:c>
      <x:c r="J301" t="str">
        <x:v>2026-10-27</x:v>
      </x:c>
      <x:c r="K301"/>
      <x:c r="L301" t="str">
        <x:v>2026-10-27</x:v>
      </x:c>
      <x:c r="M301" t="str">
        <x:v>151.0</x:v>
      </x:c>
      <x:c r="N301" t="str">
        <x:v>0.0</x:v>
      </x:c>
      <x:c r="O301" t="str">
        <x:v>เช่ายืม</x:v>
      </x:c>
      <x:c r="P301" t="str">
        <x:v>เช่ายืม</x:v>
      </x:c>
      <x:c r="Q301" t="str">
        <x:v>อยู่ระหว่างเช่ายืม</x:v>
      </x:c>
      <x:c r="R301"/>
      <x:c r="S301" t="str">
        <x:v>301.0</x:v>
      </x:c>
    </x:row>
  </x:sheetData>
  <x:pageMargins left="0.7" right="0.7" top="0.75" bottom="0.75" header="0.3" footer="0.3"/>
  <x:tableParts count="1">
    <x:tablePart xmlns:r="http://schemas.openxmlformats.org/officeDocument/2006/relationships" r:id="R453ae0f52fb548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12" t="str">
        <x:v>accessory_id</x:v>
      </x:c>
      <x:c r="B1" s="12" t="str">
        <x:v>team</x:v>
      </x:c>
      <x:c r="C1" s="12" t="str">
        <x:v>item_name</x:v>
      </x:c>
      <x:c r="D1" s="12" t="str">
        <x:v>stock_qty</x:v>
      </x:c>
      <x:c r="E1" s="12" t="str">
        <x:v>min_stock_qty</x:v>
      </x:c>
      <x:c r="F1" s="12" t="str">
        <x:v>status</x:v>
      </x:c>
      <x:c r="G1" s="12" t="str">
        <x:v>action_required</x:v>
      </x:c>
      <x:c r="H1" s="12" t="str">
        <x:v>check_interval_code</x:v>
      </x:c>
      <x:c r="I1" s="12" t="str">
        <x:v>check_interval_days</x:v>
      </x:c>
      <x:c r="J1" s="12" t="str">
        <x:v>criticality</x:v>
      </x:c>
      <x:c r="K1" s="12" t="str">
        <x:v>last_check_date</x:v>
      </x:c>
      <x:c r="L1" s="12" t="str">
        <x:v>next_check_date</x:v>
      </x:c>
      <x:c r="M1" s="12" t="str">
        <x:v>days_to_check</x:v>
      </x:c>
      <x:c r="N1" s="12" t="str">
        <x:v>check_status</x:v>
      </x:c>
      <x:c r="O1" s="12" t="str">
        <x:v>alert_flag</x:v>
      </x:c>
      <x:c r="P1" s="12" t="str">
        <x:v>physical_qty</x:v>
      </x:c>
      <x:c r="Q1" s="12" t="str">
        <x:v>stock_gap</x:v>
      </x:c>
      <x:c r="R1" s="12" t="str">
        <x:v>check_note</x:v>
      </x:c>
      <x:c r="S1" s="12" t="str">
        <x:v>checked_by</x:v>
      </x:c>
      <x:c r="T1" s="12" t="str">
        <x:v>last_check_timestamp</x:v>
      </x:c>
      <x:c r="U1" s="12" t="str">
        <x:v>stock_gap_to_min</x:v>
      </x:c>
      <x:c r="V1" s="12" t="str">
        <x:v>stock_status</x:v>
      </x:c>
      <x:c r="W1" s="12" t="str">
        <x:v>check_result</x:v>
      </x:c>
    </x:row>
    <x:row r="2">
      <x:c r="A2" t="str">
        <x:v>ACC0001</x:v>
      </x:c>
      <x:c r="B2" t="str">
        <x:v>MED</x:v>
      </x:c>
      <x:c r="C2" t="str">
        <x:v>Adult BP Cuff (Standard)</x:v>
      </x:c>
      <x:c r="D2" t="str">
        <x:v>0.0</x:v>
      </x:c>
      <x:c r="E2" t="str">
        <x:v>5.0</x:v>
      </x:c>
      <x:c r="F2" t="str">
        <x:v>LOW_STOCK</x:v>
      </x:c>
      <x:c r="G2" t="str">
        <x:v>Reorder / replenish stock</x:v>
      </x:c>
      <x:c r="H2" t="str">
        <x:v>QUARTERLY</x:v>
      </x:c>
      <x:c r="I2" t="str">
        <x:v>90.0</x:v>
      </x:c>
      <x:c r="J2" t="str">
        <x:v>CRITICAL_REUSABLE</x:v>
      </x:c>
      <x:c r="K2" t="str">
        <x:v>46174.0</x:v>
      </x:c>
      <x:c r="L2" t="str">
        <x:v>46264.0</x:v>
      </x:c>
      <x:c r="M2" t="str">
        <x:v>73.0</x:v>
      </x:c>
      <x:c r="N2" t="str">
        <x:v>OK</x:v>
      </x:c>
      <x:c r="O2" t="str">
        <x:v>ALERT</x:v>
      </x:c>
      <x:c r="P2" t="str">
        <x:v>0.0</x:v>
      </x:c>
      <x:c r="Q2" t="str">
        <x:v>0.0</x:v>
      </x:c>
      <x:c r="R2" t="str">
        <x:v>Batch recheck from alert table</x:v>
      </x:c>
      <x:c r="S2" t="str">
        <x:v>siripak.chat@gmail.com</x:v>
      </x:c>
      <x:c r="T2" t="str">
        <x:v>46174.735613425924</x:v>
      </x:c>
      <x:c r="U2" t="str">
        <x:v>-5.0</x:v>
      </x:c>
      <x:c r="V2" t="str">
        <x:v>LOW_STOCK</x:v>
      </x:c>
      <x:c r="W2" t="str">
        <x:v>COUNT_OK</x:v>
      </x:c>
    </x:row>
    <x:row r="3">
      <x:c r="A3" t="str">
        <x:v>ACC0002</x:v>
      </x:c>
      <x:c r="B3" t="str">
        <x:v>MED</x:v>
      </x:c>
      <x:c r="C3" t="str">
        <x:v>Adult Thigh BP Cuff</x:v>
      </x:c>
      <x:c r="D3" t="str">
        <x:v>0.0</x:v>
      </x:c>
      <x:c r="E3" t="str">
        <x:v>5.0</x:v>
      </x:c>
      <x:c r="F3" t="str">
        <x:v>LOW_STOCK</x:v>
      </x:c>
      <x:c r="G3" t="str">
        <x:v>Reorder / replenish stock</x:v>
      </x:c>
      <x:c r="H3" t="str">
        <x:v>QUARTERLY</x:v>
      </x:c>
      <x:c r="I3" t="str">
        <x:v>90.0</x:v>
      </x:c>
      <x:c r="J3" t="str">
        <x:v>CRITICAL_REUSABLE</x:v>
      </x:c>
      <x:c r="K3" t="str">
        <x:v>46174.0</x:v>
      </x:c>
      <x:c r="L3" t="str">
        <x:v>46264.0</x:v>
      </x:c>
      <x:c r="M3" t="str">
        <x:v>73.0</x:v>
      </x:c>
      <x:c r="N3" t="str">
        <x:v>OK</x:v>
      </x:c>
      <x:c r="O3" t="str">
        <x:v>ALERT</x:v>
      </x:c>
      <x:c r="P3" t="str">
        <x:v>0.0</x:v>
      </x:c>
      <x:c r="Q3" t="str">
        <x:v>0.0</x:v>
      </x:c>
      <x:c r="R3" t="str">
        <x:v>Batch recheck from alert table</x:v>
      </x:c>
      <x:c r="S3" t="str">
        <x:v>siripak.chat@gmail.com</x:v>
      </x:c>
      <x:c r="T3" t="str">
        <x:v>46174.735625</x:v>
      </x:c>
      <x:c r="U3" t="str">
        <x:v>-5.0</x:v>
      </x:c>
      <x:c r="V3" t="str">
        <x:v>LOW_STOCK</x:v>
      </x:c>
      <x:c r="W3" t="str">
        <x:v>COUNT_OK</x:v>
      </x:c>
    </x:row>
    <x:row r="4">
      <x:c r="A4" t="str">
        <x:v>ACC0003</x:v>
      </x:c>
      <x:c r="B4" t="str">
        <x:v>MED</x:v>
      </x:c>
      <x:c r="C4" t="str">
        <x:v>Welch Allyn BP Cuff</x:v>
      </x:c>
      <x:c r="D4" t="str">
        <x:v>0.0</x:v>
      </x:c>
      <x:c r="E4" t="str">
        <x:v>5.0</x:v>
      </x:c>
      <x:c r="F4" t="str">
        <x:v>LOW_STOCK</x:v>
      </x:c>
      <x:c r="G4" t="str">
        <x:v>Reorder / replenish stock</x:v>
      </x:c>
      <x:c r="H4" t="str">
        <x:v>QUARTERLY</x:v>
      </x:c>
      <x:c r="I4" t="str">
        <x:v>90.0</x:v>
      </x:c>
      <x:c r="J4" t="str">
        <x:v>CRITICAL_REUSABLE</x:v>
      </x:c>
      <x:c r="K4" t="str">
        <x:v>46174.0</x:v>
      </x:c>
      <x:c r="L4" t="str">
        <x:v>46264.0</x:v>
      </x:c>
      <x:c r="M4" t="str">
        <x:v>73.0</x:v>
      </x:c>
      <x:c r="N4" t="str">
        <x:v>OK</x:v>
      </x:c>
      <x:c r="O4" t="str">
        <x:v>ALERT</x:v>
      </x:c>
      <x:c r="P4" t="str">
        <x:v>0.0</x:v>
      </x:c>
      <x:c r="Q4" t="str">
        <x:v>0.0</x:v>
      </x:c>
      <x:c r="R4" t="str">
        <x:v>Batch recheck from alert table</x:v>
      </x:c>
      <x:c r="S4" t="str">
        <x:v>siripak.chat@gmail.com</x:v>
      </x:c>
      <x:c r="T4" t="str">
        <x:v>46174.73579861111</x:v>
      </x:c>
      <x:c r="U4" t="str">
        <x:v>-5.0</x:v>
      </x:c>
      <x:c r="V4" t="str">
        <x:v>LOW_STOCK</x:v>
      </x:c>
      <x:c r="W4" t="str">
        <x:v>COUNT_OK</x:v>
      </x:c>
    </x:row>
    <x:row r="5">
      <x:c r="A5" t="str">
        <x:v>ACC0004</x:v>
      </x:c>
      <x:c r="B5" t="str">
        <x:v>MED</x:v>
      </x:c>
      <x:c r="C5" t="str">
        <x:v>Inflation Bulb</x:v>
      </x:c>
      <x:c r="D5" t="str">
        <x:v>0.0</x:v>
      </x:c>
      <x:c r="E5" t="str">
        <x:v>5.0</x:v>
      </x:c>
      <x:c r="F5" t="str">
        <x:v>LOW_STOCK</x:v>
      </x:c>
      <x:c r="G5" t="str">
        <x:v>Reorder / replenish stock</x:v>
      </x:c>
      <x:c r="H5" t="str">
        <x:v>HALF_YEARLY</x:v>
      </x:c>
      <x:c r="I5" t="str">
        <x:v>180.0</x:v>
      </x:c>
      <x:c r="J5" t="str">
        <x:v>CRITICAL_REUSABLE</x:v>
      </x:c>
      <x:c r="K5" t="str">
        <x:v>46174.0</x:v>
      </x:c>
      <x:c r="L5" t="str">
        <x:v>46354.0</x:v>
      </x:c>
      <x:c r="M5" t="str">
        <x:v>163.0</x:v>
      </x:c>
      <x:c r="N5" t="str">
        <x:v>OK</x:v>
      </x:c>
      <x:c r="O5" t="str">
        <x:v>ALERT</x:v>
      </x:c>
      <x:c r="P5" t="str">
        <x:v>0.0</x:v>
      </x:c>
      <x:c r="Q5" t="str">
        <x:v>0.0</x:v>
      </x:c>
      <x:c r="R5" t="str">
        <x:v>Batch recheck from alert table</x:v>
      </x:c>
      <x:c r="S5" t="str">
        <x:v>siripak.chat@gmail.com</x:v>
      </x:c>
      <x:c r="T5" t="str">
        <x:v>46174.735659722224</x:v>
      </x:c>
      <x:c r="U5" t="str">
        <x:v>-5.0</x:v>
      </x:c>
      <x:c r="V5" t="str">
        <x:v>LOW_STOCK</x:v>
      </x:c>
      <x:c r="W5" t="str">
        <x:v>COUNT_OK</x:v>
      </x:c>
    </x:row>
    <x:row r="6">
      <x:c r="A6" t="str">
        <x:v>ACC0005</x:v>
      </x:c>
      <x:c r="B6" t="str">
        <x:v>MED</x:v>
      </x:c>
      <x:c r="C6" t="str">
        <x:v>Medical Power Cord (Y-Type)</x:v>
      </x:c>
      <x:c r="D6" t="str">
        <x:v>0.0</x:v>
      </x:c>
      <x:c r="E6" t="str">
        <x:v>5.0</x:v>
      </x:c>
      <x:c r="F6" t="str">
        <x:v>LOW_STOCK</x:v>
      </x:c>
      <x:c r="G6" t="str">
        <x:v>Reorder / replenish stock</x:v>
      </x:c>
      <x:c r="H6" t="str">
        <x:v>QUARTERLY</x:v>
      </x:c>
      <x:c r="I6" t="str">
        <x:v>90.0</x:v>
      </x:c>
      <x:c r="J6" t="str">
        <x:v>CRITICAL_REUSABLE</x:v>
      </x:c>
      <x:c r="K6" t="str">
        <x:v>46174.0</x:v>
      </x:c>
      <x:c r="L6" t="str">
        <x:v>46264.0</x:v>
      </x:c>
      <x:c r="M6" t="str">
        <x:v>73.0</x:v>
      </x:c>
      <x:c r="N6" t="str">
        <x:v>OK</x:v>
      </x:c>
      <x:c r="O6" t="str">
        <x:v>ALERT</x:v>
      </x:c>
      <x:c r="P6" t="str">
        <x:v>0.0</x:v>
      </x:c>
      <x:c r="Q6" t="str">
        <x:v>0.0</x:v>
      </x:c>
      <x:c r="R6" t="str">
        <x:v>Batch recheck from alert table</x:v>
      </x:c>
      <x:c r="S6" t="str">
        <x:v>siripak.chat@gmail.com</x:v>
      </x:c>
      <x:c r="T6" t="str">
        <x:v>46174.73577546296</x:v>
      </x:c>
      <x:c r="U6" t="str">
        <x:v>-5.0</x:v>
      </x:c>
      <x:c r="V6" t="str">
        <x:v>LOW_STOCK</x:v>
      </x:c>
      <x:c r="W6" t="str">
        <x:v>COUNT_OK</x:v>
      </x:c>
    </x:row>
    <x:row r="7">
      <x:c r="A7" t="str">
        <x:v>ACC0006</x:v>
      </x:c>
      <x:c r="B7" t="str">
        <x:v>MED</x:v>
      </x:c>
      <x:c r="C7" t="str">
        <x:v>ECG Limb Clamps &amp; Chest Electrodes</x:v>
      </x:c>
      <x:c r="D7" t="str">
        <x:v>0.0</x:v>
      </x:c>
      <x:c r="E7" t="str">
        <x:v>2.0</x:v>
      </x:c>
      <x:c r="F7" t="str">
        <x:v>LOW_STOCK</x:v>
      </x:c>
      <x:c r="G7" t="str">
        <x:v>Reorder / replenish stock</x:v>
      </x:c>
      <x:c r="H7" t="str">
        <x:v>HALF_YEARLY</x:v>
      </x:c>
      <x:c r="I7" t="str">
        <x:v>180.0</x:v>
      </x:c>
      <x:c r="J7" t="str">
        <x:v>CRITICAL_REUSABLE</x:v>
      </x:c>
      <x:c r="K7" t="str">
        <x:v>46174.0</x:v>
      </x:c>
      <x:c r="L7" t="str">
        <x:v>46354.0</x:v>
      </x:c>
      <x:c r="M7" t="str">
        <x:v>163.0</x:v>
      </x:c>
      <x:c r="N7" t="str">
        <x:v>OK</x:v>
      </x:c>
      <x:c r="O7" t="str">
        <x:v>ALERT</x:v>
      </x:c>
      <x:c r="P7" t="str">
        <x:v>0.0</x:v>
      </x:c>
      <x:c r="Q7" t="str">
        <x:v>0.0</x:v>
      </x:c>
      <x:c r="R7" t="str">
        <x:v>Batch recheck from alert table</x:v>
      </x:c>
      <x:c r="S7" t="str">
        <x:v>siripak.chat@gmail.com</x:v>
      </x:c>
      <x:c r="T7" t="str">
        <x:v>46174.73563657407</x:v>
      </x:c>
      <x:c r="U7" t="str">
        <x:v>-2.0</x:v>
      </x:c>
      <x:c r="V7" t="str">
        <x:v>LOW_STOCK</x:v>
      </x:c>
      <x:c r="W7" t="str">
        <x:v>COUNT_OK</x:v>
      </x:c>
    </x:row>
    <x:row r="8">
      <x:c r="A8" t="str">
        <x:v>ACC0007</x:v>
      </x:c>
      <x:c r="B8" t="str">
        <x:v>MED</x:v>
      </x:c>
      <x:c r="C8" t="str">
        <x:v>Medical Battery Pack</x:v>
      </x:c>
      <x:c r="D8" t="str">
        <x:v>0.0</x:v>
      </x:c>
      <x:c r="E8" t="str">
        <x:v>2.0</x:v>
      </x:c>
      <x:c r="F8" t="str">
        <x:v>LOW_STOCK</x:v>
      </x:c>
      <x:c r="G8" t="str">
        <x:v>Reorder / replenish stock</x:v>
      </x:c>
      <x:c r="H8" t="str">
        <x:v>QUARTERLY</x:v>
      </x:c>
      <x:c r="I8" t="str">
        <x:v>90.0</x:v>
      </x:c>
      <x:c r="J8" t="str">
        <x:v>CRITICAL_REUSABLE</x:v>
      </x:c>
      <x:c r="K8" t="str">
        <x:v>46174.0</x:v>
      </x:c>
      <x:c r="L8" t="str">
        <x:v>46264.0</x:v>
      </x:c>
      <x:c r="M8" t="str">
        <x:v>73.0</x:v>
      </x:c>
      <x:c r="N8" t="str">
        <x:v>OK</x:v>
      </x:c>
      <x:c r="O8" t="str">
        <x:v>ALERT</x:v>
      </x:c>
      <x:c r="P8" t="str">
        <x:v>0.0</x:v>
      </x:c>
      <x:c r="Q8" t="str">
        <x:v>0.0</x:v>
      </x:c>
      <x:c r="R8" t="str">
        <x:v>Batch recheck from alert table</x:v>
      </x:c>
      <x:c r="S8" t="str">
        <x:v>siripak.chat@gmail.com</x:v>
      </x:c>
      <x:c r="T8" t="str">
        <x:v>46174.73575231482</x:v>
      </x:c>
      <x:c r="U8" t="str">
        <x:v>-2.0</x:v>
      </x:c>
      <x:c r="V8" t="str">
        <x:v>LOW_STOCK</x:v>
      </x:c>
      <x:c r="W8" t="str">
        <x:v>COUNT_OK</x:v>
      </x:c>
    </x:row>
    <x:row r="9">
      <x:c r="A9" t="str">
        <x:v>ACC0008</x:v>
      </x:c>
      <x:c r="B9" t="str">
        <x:v>MED</x:v>
      </x:c>
      <x:c r="C9" t="str">
        <x:v>SpO2 Sensor</x:v>
      </x:c>
      <x:c r="D9" t="str">
        <x:v>0.0</x:v>
      </x:c>
      <x:c r="E9" t="str">
        <x:v>5.0</x:v>
      </x:c>
      <x:c r="F9" t="str">
        <x:v>LOW_STOCK</x:v>
      </x:c>
      <x:c r="G9" t="str">
        <x:v>Reorder / replenish stock</x:v>
      </x:c>
      <x:c r="H9" t="str">
        <x:v>QUARTERLY</x:v>
      </x:c>
      <x:c r="I9" t="str">
        <x:v>90.0</x:v>
      </x:c>
      <x:c r="J9" t="str">
        <x:v>CRITICAL_REUSABLE</x:v>
      </x:c>
      <x:c r="K9" t="str">
        <x:v>46174.0</x:v>
      </x:c>
      <x:c r="L9" t="str">
        <x:v>46264.0</x:v>
      </x:c>
      <x:c r="M9" t="str">
        <x:v>73.0</x:v>
      </x:c>
      <x:c r="N9" t="str">
        <x:v>OK</x:v>
      </x:c>
      <x:c r="O9" t="str">
        <x:v>ALERT</x:v>
      </x:c>
      <x:c r="P9" t="str">
        <x:v>0.0</x:v>
      </x:c>
      <x:c r="Q9" t="str">
        <x:v>0.0</x:v>
      </x:c>
      <x:c r="R9" t="str">
        <x:v>Batch recheck from alert table</x:v>
      </x:c>
      <x:c r="S9" t="str">
        <x:v>siripak.chat@gmail.com</x:v>
      </x:c>
      <x:c r="T9" t="str">
        <x:v>46174.73578703704</x:v>
      </x:c>
      <x:c r="U9" t="str">
        <x:v>-5.0</x:v>
      </x:c>
      <x:c r="V9" t="str">
        <x:v>LOW_STOCK</x:v>
      </x:c>
      <x:c r="W9" t="str">
        <x:v>COUNT_OK</x:v>
      </x:c>
    </x:row>
    <x:row r="10">
      <x:c r="A10" t="str">
        <x:v>ACC0009</x:v>
      </x:c>
      <x:c r="B10" t="str">
        <x:v>MED</x:v>
      </x:c>
      <x:c r="C10" t="str">
        <x:v>SpO2 Extension Cable</x:v>
      </x:c>
      <x:c r="D10" t="str">
        <x:v>0.0</x:v>
      </x:c>
      <x:c r="E10" t="str">
        <x:v>5.0</x:v>
      </x:c>
      <x:c r="F10" t="str">
        <x:v>LOW_STOCK</x:v>
      </x:c>
      <x:c r="G10" t="str">
        <x:v>Reorder / replenish stock</x:v>
      </x:c>
      <x:c r="H10" t="str">
        <x:v>QUARTERLY</x:v>
      </x:c>
      <x:c r="I10" t="str">
        <x:v>90.0</x:v>
      </x:c>
      <x:c r="J10" t="str">
        <x:v>CRITICAL_REUSABLE</x:v>
      </x:c>
      <x:c r="K10" t="str">
        <x:v>46174.0</x:v>
      </x:c>
      <x:c r="L10" t="str">
        <x:v>46264.0</x:v>
      </x:c>
      <x:c r="M10" t="str">
        <x:v>73.0</x:v>
      </x:c>
      <x:c r="N10" t="str">
        <x:v>OK</x:v>
      </x:c>
      <x:c r="O10" t="str">
        <x:v>ALERT</x:v>
      </x:c>
      <x:c r="P10" t="str">
        <x:v>0.0</x:v>
      </x:c>
      <x:c r="Q10" t="str">
        <x:v>0.0</x:v>
      </x:c>
      <x:c r="R10" t="str">
        <x:v>Batch recheck from alert table</x:v>
      </x:c>
      <x:c r="S10" t="str">
        <x:v>siripak.chat@gmail.com</x:v>
      </x:c>
      <x:c r="T10" t="str">
        <x:v>46174.73578703704</x:v>
      </x:c>
      <x:c r="U10" t="str">
        <x:v>-5.0</x:v>
      </x:c>
      <x:c r="V10" t="str">
        <x:v>LOW_STOCK</x:v>
      </x:c>
      <x:c r="W10" t="str">
        <x:v>COUNT_OK</x:v>
      </x:c>
    </x:row>
    <x:row r="11">
      <x:c r="A11" t="str">
        <x:v>ACC0010</x:v>
      </x:c>
      <x:c r="B11" t="str">
        <x:v>MED</x:v>
      </x:c>
      <x:c r="C11" t="str">
        <x:v>ECG Trunk Cable</x:v>
      </x:c>
      <x:c r="D11" t="str">
        <x:v>0.0</x:v>
      </x:c>
      <x:c r="E11" t="str">
        <x:v>5.0</x:v>
      </x:c>
      <x:c r="F11" t="str">
        <x:v>LOW_STOCK</x:v>
      </x:c>
      <x:c r="G11" t="str">
        <x:v>Reorder / replenish stock</x:v>
      </x:c>
      <x:c r="H11" t="str">
        <x:v>QUARTERLY</x:v>
      </x:c>
      <x:c r="I11" t="str">
        <x:v>90.0</x:v>
      </x:c>
      <x:c r="J11" t="str">
        <x:v>CRITICAL_REUSABLE</x:v>
      </x:c>
      <x:c r="K11" t="str">
        <x:v>46174.0</x:v>
      </x:c>
      <x:c r="L11" t="str">
        <x:v>46264.0</x:v>
      </x:c>
      <x:c r="M11" t="str">
        <x:v>73.0</x:v>
      </x:c>
      <x:c r="N11" t="str">
        <x:v>OK</x:v>
      </x:c>
      <x:c r="O11" t="str">
        <x:v>ALERT</x:v>
      </x:c>
      <x:c r="P11" t="str">
        <x:v>0.0</x:v>
      </x:c>
      <x:c r="Q11" t="str">
        <x:v>0.0</x:v>
      </x:c>
      <x:c r="R11" t="str">
        <x:v>Batch recheck from alert table</x:v>
      </x:c>
      <x:c r="S11" t="str">
        <x:v>siripak.chat@gmail.com</x:v>
      </x:c>
      <x:c r="T11" t="str">
        <x:v>46174.73564814815</x:v>
      </x:c>
      <x:c r="U11" t="str">
        <x:v>-5.0</x:v>
      </x:c>
      <x:c r="V11" t="str">
        <x:v>LOW_STOCK</x:v>
      </x:c>
      <x:c r="W11" t="str">
        <x:v>COUNT_OK</x:v>
      </x:c>
    </x:row>
    <x:row r="12">
      <x:c r="A12" t="str">
        <x:v>ACC0011</x:v>
      </x:c>
      <x:c r="B12" t="str">
        <x:v>MED</x:v>
      </x:c>
      <x:c r="C12" t="str">
        <x:v>Infusion Pump (Battery)</x:v>
      </x:c>
      <x:c r="D12" t="str">
        <x:v>0.0</x:v>
      </x:c>
      <x:c r="E12" t="str">
        <x:v>5.0</x:v>
      </x:c>
      <x:c r="F12" t="str">
        <x:v>LOW_STOCK</x:v>
      </x:c>
      <x:c r="G12" t="str">
        <x:v>Reorder / replenish stock</x:v>
      </x:c>
      <x:c r="H12" t="str">
        <x:v>QUARTERLY</x:v>
      </x:c>
      <x:c r="I12" t="str">
        <x:v>90.0</x:v>
      </x:c>
      <x:c r="J12" t="str">
        <x:v>CRITICAL_REUSABLE</x:v>
      </x:c>
      <x:c r="K12" t="str">
        <x:v>46174.0</x:v>
      </x:c>
      <x:c r="L12" t="str">
        <x:v>46264.0</x:v>
      </x:c>
      <x:c r="M12" t="str">
        <x:v>73.0</x:v>
      </x:c>
      <x:c r="N12" t="str">
        <x:v>OK</x:v>
      </x:c>
      <x:c r="O12" t="str">
        <x:v>ALERT</x:v>
      </x:c>
      <x:c r="P12" t="str">
        <x:v>0.0</x:v>
      </x:c>
      <x:c r="Q12" t="str">
        <x:v>0.0</x:v>
      </x:c>
      <x:c r="R12" t="str">
        <x:v>Batch recheck from alert table</x:v>
      </x:c>
      <x:c r="S12" t="str">
        <x:v>siripak.chat@gmail.com</x:v>
      </x:c>
      <x:c r="T12" t="str">
        <x:v>46174.73569444445</x:v>
      </x:c>
      <x:c r="U12" t="str">
        <x:v>-5.0</x:v>
      </x:c>
      <x:c r="V12" t="str">
        <x:v>LOW_STOCK</x:v>
      </x:c>
      <x:c r="W12" t="str">
        <x:v>COUNT_OK</x:v>
      </x:c>
    </x:row>
    <x:row r="13">
      <x:c r="A13" t="str">
        <x:v>ACC0012</x:v>
      </x:c>
      <x:c r="B13" t="str">
        <x:v>MED</x:v>
      </x:c>
      <x:c r="C13" t="str">
        <x:v>Infusion Pump (AC Plug)</x:v>
      </x:c>
      <x:c r="D13" t="str">
        <x:v>0.0</x:v>
      </x:c>
      <x:c r="E13" t="str">
        <x:v>5.0</x:v>
      </x:c>
      <x:c r="F13" t="str">
        <x:v>LOW_STOCK</x:v>
      </x:c>
      <x:c r="G13" t="str">
        <x:v>Reorder / replenish stock</x:v>
      </x:c>
      <x:c r="H13" t="str">
        <x:v>HALF_YEARLY</x:v>
      </x:c>
      <x:c r="I13" t="str">
        <x:v>180.0</x:v>
      </x:c>
      <x:c r="J13" t="str">
        <x:v>CRITICAL_REUSABLE</x:v>
      </x:c>
      <x:c r="K13" t="str">
        <x:v>46174.0</x:v>
      </x:c>
      <x:c r="L13" t="str">
        <x:v>46354.0</x:v>
      </x:c>
      <x:c r="M13" t="str">
        <x:v>163.0</x:v>
      </x:c>
      <x:c r="N13" t="str">
        <x:v>OK</x:v>
      </x:c>
      <x:c r="O13" t="str">
        <x:v>ALERT</x:v>
      </x:c>
      <x:c r="P13" t="str">
        <x:v>0.0</x:v>
      </x:c>
      <x:c r="Q13" t="str">
        <x:v>0.0</x:v>
      </x:c>
      <x:c r="R13" t="str">
        <x:v>Batch recheck from alert table</x:v>
      </x:c>
      <x:c r="S13" t="str">
        <x:v>siripak.chat@gmail.com</x:v>
      </x:c>
      <x:c r="T13" t="str">
        <x:v>46174.735671296294</x:v>
      </x:c>
      <x:c r="U13" t="str">
        <x:v>-5.0</x:v>
      </x:c>
      <x:c r="V13" t="str">
        <x:v>LOW_STOCK</x:v>
      </x:c>
      <x:c r="W13" t="str">
        <x:v>COUNT_OK</x:v>
      </x:c>
    </x:row>
    <x:row r="14">
      <x:c r="A14" t="str">
        <x:v>ACC0013</x:v>
      </x:c>
      <x:c r="B14" t="str">
        <x:v>MED</x:v>
      </x:c>
      <x:c r="C14" t="str">
        <x:v>Infusion Pump (Pole)</x:v>
      </x:c>
      <x:c r="D14" t="str">
        <x:v>70.0</x:v>
      </x:c>
      <x:c r="E14" t="str">
        <x:v>20.0</x:v>
      </x:c>
      <x:c r="F14" t="str">
        <x:v>STOCK</x:v>
      </x:c>
      <x:c r="G14" t="str">
        <x:v>No action</x:v>
      </x:c>
      <x:c r="H14" t="str">
        <x:v>HALF_YEARLY</x:v>
      </x:c>
      <x:c r="I14" t="str">
        <x:v>180.0</x:v>
      </x:c>
      <x:c r="J14" t="str">
        <x:v>LOW_MOVEMENT_SPARE</x:v>
      </x:c>
      <x:c r="K14" t="str">
        <x:v>46174.0</x:v>
      </x:c>
      <x:c r="L14" t="str">
        <x:v>46354.0</x:v>
      </x:c>
      <x:c r="M14" t="str">
        <x:v>163.0</x:v>
      </x:c>
      <x:c r="N14" t="str">
        <x:v>OK</x:v>
      </x:c>
      <x:c r="O14" t="str">
        <x:v>OK</x:v>
      </x:c>
      <x:c r="P14" t="str">
        <x:v>70.0</x:v>
      </x:c>
      <x:c r="Q14" t="str">
        <x:v>0.0</x:v>
      </x:c>
      <x:c r="R14" t="str">
        <x:v>Batch recheck from alert table</x:v>
      </x:c>
      <x:c r="S14" t="str">
        <x:v>siripak.chat@gmail.com</x:v>
      </x:c>
      <x:c r="T14" t="str">
        <x:v>46174.73621527778</x:v>
      </x:c>
      <x:c r="U14" t="str">
        <x:v>50.0</x:v>
      </x:c>
      <x:c r="V14" t="str">
        <x:v>STOCK_OK</x:v>
      </x:c>
      <x:c r="W14" t="str">
        <x:v>COUNT_OK</x:v>
      </x:c>
    </x:row>
    <x:row r="15">
      <x:c r="A15" t="str">
        <x:v>ACC0014</x:v>
      </x:c>
      <x:c r="B15" t="str">
        <x:v>MED</x:v>
      </x:c>
      <x:c r="C15" t="str">
        <x:v>Infusion Pump (Clamp)</x:v>
      </x:c>
      <x:c r="D15" t="str">
        <x:v>0.0</x:v>
      </x:c>
      <x:c r="E15" t="str">
        <x:v>5.0</x:v>
      </x:c>
      <x:c r="F15" t="str">
        <x:v>LOW_STOCK</x:v>
      </x:c>
      <x:c r="G15" t="str">
        <x:v>Reorder / replenish stock</x:v>
      </x:c>
      <x:c r="H15" t="str">
        <x:v>HALF_YEARLY</x:v>
      </x:c>
      <x:c r="I15" t="str">
        <x:v>180.0</x:v>
      </x:c>
      <x:c r="J15" t="str">
        <x:v>CRITICAL_REUSABLE</x:v>
      </x:c>
      <x:c r="K15" t="str">
        <x:v>46174.0</x:v>
      </x:c>
      <x:c r="L15" t="str">
        <x:v>46354.0</x:v>
      </x:c>
      <x:c r="M15" t="str">
        <x:v>163.0</x:v>
      </x:c>
      <x:c r="N15" t="str">
        <x:v>OK</x:v>
      </x:c>
      <x:c r="O15" t="str">
        <x:v>ALERT</x:v>
      </x:c>
      <x:c r="P15" t="str">
        <x:v>0.0</x:v>
      </x:c>
      <x:c r="Q15" t="str">
        <x:v>0.0</x:v>
      </x:c>
      <x:c r="R15" t="str">
        <x:v>Batch recheck from alert table</x:v>
      </x:c>
      <x:c r="S15" t="str">
        <x:v>siripak.chat@gmail.com</x:v>
      </x:c>
      <x:c r="T15" t="str">
        <x:v>46174.73571759259</x:v>
      </x:c>
      <x:c r="U15" t="str">
        <x:v>-5.0</x:v>
      </x:c>
      <x:c r="V15" t="str">
        <x:v>LOW_STOCK</x:v>
      </x:c>
      <x:c r="W15" t="str">
        <x:v>COUNT_OK</x:v>
      </x:c>
    </x:row>
    <x:row r="16">
      <x:c r="A16" t="str">
        <x:v>ACC0015</x:v>
      </x:c>
      <x:c r="B16" t="str">
        <x:v>MED</x:v>
      </x:c>
      <x:c r="C16" t="str">
        <x:v>Infusion Pump (IV Set)</x:v>
      </x:c>
      <x:c r="D16" t="str">
        <x:v>0.0</x:v>
      </x:c>
      <x:c r="E16" t="str">
        <x:v>10.0</x:v>
      </x:c>
      <x:c r="F16" t="str">
        <x:v>LOW_STOCK</x:v>
      </x:c>
      <x:c r="G16" t="str">
        <x:v>Reorder / replenish stock</x:v>
      </x:c>
      <x:c r="H16" t="str">
        <x:v>HALF_YEARLY</x:v>
      </x:c>
      <x:c r="I16" t="str">
        <x:v>180.0</x:v>
      </x:c>
      <x:c r="J16" t="str">
        <x:v>HIGH_TURNOVER_CONSUMABLE</x:v>
      </x:c>
      <x:c r="K16" t="str">
        <x:v>46174.0</x:v>
      </x:c>
      <x:c r="L16" t="str">
        <x:v>46354.0</x:v>
      </x:c>
      <x:c r="M16" t="str">
        <x:v>163.0</x:v>
      </x:c>
      <x:c r="N16" t="str">
        <x:v>OK</x:v>
      </x:c>
      <x:c r="O16" t="str">
        <x:v>ALERT</x:v>
      </x:c>
      <x:c r="P16" t="str">
        <x:v>0.0</x:v>
      </x:c>
      <x:c r="Q16" t="str">
        <x:v>0.0</x:v>
      </x:c>
      <x:c r="R16" t="str">
        <x:v>Batch recheck from alert table</x:v>
      </x:c>
      <x:c r="S16" t="str">
        <x:v>siripak.chat@gmail.com</x:v>
      </x:c>
      <x:c r="T16" t="str">
        <x:v>46174.73572916666</x:v>
      </x:c>
      <x:c r="U16" t="str">
        <x:v>-10.0</x:v>
      </x:c>
      <x:c r="V16" t="str">
        <x:v>LOW_STOCK</x:v>
      </x:c>
      <x:c r="W16" t="str">
        <x:v>COUNT_OK</x:v>
      </x:c>
    </x:row>
    <x:row r="17">
      <x:c r="A17" t="str">
        <x:v>ACC0016</x:v>
      </x:c>
      <x:c r="B17" t="str">
        <x:v>EHS</x:v>
      </x:c>
      <x:c r="C17" t="str">
        <x:v>PPE</x:v>
      </x:c>
      <x:c r="D17" t="str">
        <x:v>4.0</x:v>
      </x:c>
      <x:c r="E17" t="str">
        <x:v>1.0</x:v>
      </x:c>
      <x:c r="F17" t="str">
        <x:v>STOCK</x:v>
      </x:c>
      <x:c r="G17" t="str">
        <x:v>No action</x:v>
      </x:c>
      <x:c r="H17" t="str">
        <x:v>MONTHLY</x:v>
      </x:c>
      <x:c r="I17" t="str">
        <x:v>30.0</x:v>
      </x:c>
      <x:c r="J17" t="str">
        <x:v>HIGH_TURNOVER_CONSUMABLE</x:v>
      </x:c>
      <x:c r="K17" t="str">
        <x:v>46174.0</x:v>
      </x:c>
      <x:c r="L17" t="str">
        <x:v>46204.0</x:v>
      </x:c>
      <x:c r="M17" t="str">
        <x:v>13.0</x:v>
      </x:c>
      <x:c r="N17" t="str">
        <x:v>OK</x:v>
      </x:c>
      <x:c r="O17" t="str">
        <x:v>OK</x:v>
      </x:c>
      <x:c r="P17" t="str">
        <x:v>5.0</x:v>
      </x:c>
      <x:c r="Q17" t="str">
        <x:v>0.0</x:v>
      </x:c>
      <x:c r="R17" t="str">
        <x:v>Batch recheck from alert table</x:v>
      </x:c>
      <x:c r="S17" t="str">
        <x:v>siripak.chat@gmail.com</x:v>
      </x:c>
      <x:c r="T17" t="str">
        <x:v>46174.736122685186</x:v>
      </x:c>
      <x:c r="U17" t="str">
        <x:v>4.0</x:v>
      </x:c>
      <x:c r="V17" t="str">
        <x:v>STOCK_OK</x:v>
      </x:c>
      <x:c r="W17" t="str">
        <x:v>COUNT_OK</x:v>
      </x:c>
    </x:row>
    <x:row r="18">
      <x:c r="A18" t="str">
        <x:v>ACC0017</x:v>
      </x:c>
      <x:c r="B18" t="str">
        <x:v>EHS</x:v>
      </x:c>
      <x:c r="C18" t="str">
        <x:v>น้ำมันpao</x:v>
      </x:c>
      <x:c r="D18" t="str">
        <x:v>1.0</x:v>
      </x:c>
      <x:c r="E18" t="str">
        <x:v>1.0</x:v>
      </x:c>
      <x:c r="F18" t="str">
        <x:v>LOW_STOCK</x:v>
      </x:c>
      <x:c r="G18" t="str">
        <x:v>Reorder / replenish stock</x:v>
      </x:c>
      <x:c r="H18" t="str">
        <x:v>HALF_YEARLY</x:v>
      </x:c>
      <x:c r="I18" t="str">
        <x:v>180.0</x:v>
      </x:c>
      <x:c r="J18" t="str">
        <x:v>HIGH_TURNOVER_CONSUMABLE</x:v>
      </x:c>
      <x:c r="K18" t="str">
        <x:v>46174.0</x:v>
      </x:c>
      <x:c r="L18" t="str">
        <x:v>46354.0</x:v>
      </x:c>
      <x:c r="M18" t="str">
        <x:v>163.0</x:v>
      </x:c>
      <x:c r="N18" t="str">
        <x:v>OK</x:v>
      </x:c>
      <x:c r="O18" t="str">
        <x:v>ALERT</x:v>
      </x:c>
      <x:c r="P18" t="str">
        <x:v>1.0</x:v>
      </x:c>
      <x:c r="Q18" t="str">
        <x:v>0.0</x:v>
      </x:c>
      <x:c r="R18" t="str">
        <x:v>Batch recheck from alert table</x:v>
      </x:c>
      <x:c r="S18" t="str">
        <x:v>siripak.chat@gmail.com</x:v>
      </x:c>
      <x:c r="T18" t="str">
        <x:v>46174.735555555555</x:v>
      </x:c>
      <x:c r="U18" t="str">
        <x:v>0.0</x:v>
      </x:c>
      <x:c r="V18" t="str">
        <x:v>LOW_STOCK</x:v>
      </x:c>
      <x:c r="W18" t="str">
        <x:v>COUNT_OK</x:v>
      </x:c>
    </x:row>
    <x:row r="19">
      <x:c r="A19" t="str">
        <x:v>ACC0018</x:v>
      </x:c>
      <x:c r="B19" t="str">
        <x:v>EHS</x:v>
      </x:c>
      <x:c r="C19" t="str">
        <x:v>แก๊สco2</x:v>
      </x:c>
      <x:c r="D19" t="str">
        <x:v>8.0</x:v>
      </x:c>
      <x:c r="E19" t="str">
        <x:v>2.0</x:v>
      </x:c>
      <x:c r="F19" t="str">
        <x:v>STOCK</x:v>
      </x:c>
      <x:c r="G19" t="str">
        <x:v>No action</x:v>
      </x:c>
      <x:c r="H19" t="str">
        <x:v>HALF_YEARLY</x:v>
      </x:c>
      <x:c r="I19" t="str">
        <x:v>180.0</x:v>
      </x:c>
      <x:c r="J19" t="str">
        <x:v>HIGH_TURNOVER_CONSUMABLE</x:v>
      </x:c>
      <x:c r="K19" t="str">
        <x:v>46174.0</x:v>
      </x:c>
      <x:c r="L19" t="str">
        <x:v>46354.0</x:v>
      </x:c>
      <x:c r="M19" t="str">
        <x:v>163.0</x:v>
      </x:c>
      <x:c r="N19" t="str">
        <x:v>OK</x:v>
      </x:c>
      <x:c r="O19" t="str">
        <x:v>OK</x:v>
      </x:c>
      <x:c r="P19" t="str">
        <x:v>9.0</x:v>
      </x:c>
      <x:c r="Q19" t="str">
        <x:v>0.0</x:v>
      </x:c>
      <x:c r="R19" t="str">
        <x:v>Batch recheck from alert table</x:v>
      </x:c>
      <x:c r="S19" t="str">
        <x:v>siripak.chat@gmail.com</x:v>
      </x:c>
      <x:c r="T19" t="str">
        <x:v>46174.73609953704</x:v>
      </x:c>
      <x:c r="U19" t="str">
        <x:v>7.0</x:v>
      </x:c>
      <x:c r="V19" t="str">
        <x:v>STOCK_OK</x:v>
      </x:c>
      <x:c r="W19" t="str">
        <x:v>COUNT_OK</x:v>
      </x:c>
    </x:row>
    <x:row r="20">
      <x:c r="A20" t="str">
        <x:v>ACC0019</x:v>
      </x:c>
      <x:c r="B20" t="str">
        <x:v>EHS</x:v>
      </x:c>
      <x:c r="C20" t="str">
        <x:v>ไฮโดเจนเปอออกไซ</x:v>
      </x:c>
      <x:c r="D20" t="str">
        <x:v>2.0</x:v>
      </x:c>
      <x:c r="E20" t="str">
        <x:v>1.0</x:v>
      </x:c>
      <x:c r="F20" t="str">
        <x:v>STOCK</x:v>
      </x:c>
      <x:c r="G20" t="str">
        <x:v>No action</x:v>
      </x:c>
      <x:c r="H20" t="str">
        <x:v>HALF_YEARLY</x:v>
      </x:c>
      <x:c r="I20" t="str">
        <x:v>180.0</x:v>
      </x:c>
      <x:c r="J20" t="str">
        <x:v>HIGH_TURNOVER_CONSUMABLE</x:v>
      </x:c>
      <x:c r="K20" t="str">
        <x:v>46174.0</x:v>
      </x:c>
      <x:c r="L20" t="str">
        <x:v>46354.0</x:v>
      </x:c>
      <x:c r="M20" t="str">
        <x:v>163.0</x:v>
      </x:c>
      <x:c r="N20" t="str">
        <x:v>OK</x:v>
      </x:c>
      <x:c r="O20" t="str">
        <x:v>OK</x:v>
      </x:c>
      <x:c r="P20" t="str">
        <x:v>2.0</x:v>
      </x:c>
      <x:c r="Q20" t="str">
        <x:v>0.0</x:v>
      </x:c>
      <x:c r="R20" t="str">
        <x:v>Batch recheck from alert table</x:v>
      </x:c>
      <x:c r="S20" t="str">
        <x:v>siripak.chat@gmail.com</x:v>
      </x:c>
      <x:c r="T20" t="str">
        <x:v>46174.73611111111</x:v>
      </x:c>
      <x:c r="U20" t="str">
        <x:v>1.0</x:v>
      </x:c>
      <x:c r="V20" t="str">
        <x:v>STOCK_OK</x:v>
      </x:c>
      <x:c r="W20" t="str">
        <x:v>COUNT_OK</x:v>
      </x:c>
    </x:row>
    <x:row r="21">
      <x:c r="A21" t="str">
        <x:v>ACC0020</x:v>
      </x:c>
      <x:c r="B21" t="str">
        <x:v>LAB</x:v>
      </x:c>
      <x:c r="C21" t="str">
        <x:v>Tip 10 ul</x:v>
      </x:c>
      <x:c r="D21" t="str">
        <x:v>16.0</x:v>
      </x:c>
      <x:c r="E21" t="str">
        <x:v>10.0</x:v>
      </x:c>
      <x:c r="F21" t="str">
        <x:v>STOCK</x:v>
      </x:c>
      <x:c r="G21" t="str">
        <x:v>No action</x:v>
      </x:c>
      <x:c r="H21" t="str">
        <x:v>MONTHLY</x:v>
      </x:c>
      <x:c r="I21" t="str">
        <x:v>30.0</x:v>
      </x:c>
      <x:c r="J21" t="str">
        <x:v>HIGH_TURNOVER_CONSUMABLE</x:v>
      </x:c>
      <x:c r="K21" t="str">
        <x:v>46174.0</x:v>
      </x:c>
      <x:c r="L21" t="str">
        <x:v>46204.0</x:v>
      </x:c>
      <x:c r="M21" t="str">
        <x:v>13.0</x:v>
      </x:c>
      <x:c r="N21" t="str">
        <x:v>OK</x:v>
      </x:c>
      <x:c r="O21" t="str">
        <x:v>OK</x:v>
      </x:c>
      <x:c r="P21" t="str">
        <x:v>16.0</x:v>
      </x:c>
      <x:c r="Q21" t="str">
        <x:v>0.0</x:v>
      </x:c>
      <x:c r="R21" t="str">
        <x:v>Batch recheck from alert table</x:v>
      </x:c>
      <x:c r="S21" t="str">
        <x:v>siripak.chat@gmail.com</x:v>
      </x:c>
      <x:c r="T21" t="str">
        <x:v>46174.73616898148</x:v>
      </x:c>
      <x:c r="U21" t="str">
        <x:v>6.0</x:v>
      </x:c>
      <x:c r="V21" t="str">
        <x:v>STOCK_OK</x:v>
      </x:c>
      <x:c r="W21" t="str">
        <x:v>COUNT_OK</x:v>
      </x:c>
    </x:row>
    <x:row r="22">
      <x:c r="A22" t="str">
        <x:v>ACC0021</x:v>
      </x:c>
      <x:c r="B22" t="str">
        <x:v>LAB</x:v>
      </x:c>
      <x:c r="C22" t="str">
        <x:v>Tip 250 ul</x:v>
      </x:c>
      <x:c r="D22" t="str">
        <x:v>11.0</x:v>
      </x:c>
      <x:c r="E22" t="str">
        <x:v>10.0</x:v>
      </x:c>
      <x:c r="F22" t="str">
        <x:v>STOCK</x:v>
      </x:c>
      <x:c r="G22" t="str">
        <x:v>No action</x:v>
      </x:c>
      <x:c r="H22" t="str">
        <x:v>MONTHLY</x:v>
      </x:c>
      <x:c r="I22" t="str">
        <x:v>30.0</x:v>
      </x:c>
      <x:c r="J22" t="str">
        <x:v>HIGH_TURNOVER_CONSUMABLE</x:v>
      </x:c>
      <x:c r="K22" t="str">
        <x:v>46174.0</x:v>
      </x:c>
      <x:c r="L22" t="str">
        <x:v>46204.0</x:v>
      </x:c>
      <x:c r="M22" t="str">
        <x:v>13.0</x:v>
      </x:c>
      <x:c r="N22" t="str">
        <x:v>OK</x:v>
      </x:c>
      <x:c r="O22" t="str">
        <x:v>OK</x:v>
      </x:c>
      <x:c r="P22" t="str">
        <x:v>11.0</x:v>
      </x:c>
      <x:c r="Q22" t="str">
        <x:v>0.0</x:v>
      </x:c>
      <x:c r="R22" t="str">
        <x:v>Batch recheck from alert table</x:v>
      </x:c>
      <x:c r="S22" t="str">
        <x:v>siripak.chat@gmail.com</x:v>
      </x:c>
      <x:c r="T22" t="str">
        <x:v>46174.736180555556</x:v>
      </x:c>
      <x:c r="U22" t="str">
        <x:v>1.0</x:v>
      </x:c>
      <x:c r="V22" t="str">
        <x:v>STOCK_OK</x:v>
      </x:c>
      <x:c r="W22" t="str">
        <x:v>COUNT_OK</x:v>
      </x:c>
    </x:row>
    <x:row r="23">
      <x:c r="A23" t="str">
        <x:v>ACC0022</x:v>
      </x:c>
      <x:c r="B23" t="str">
        <x:v>LAB</x:v>
      </x:c>
      <x:c r="C23" t="str">
        <x:v>Tip 1000 ul</x:v>
      </x:c>
      <x:c r="D23" t="str">
        <x:v>10.0</x:v>
      </x:c>
      <x:c r="E23" t="str">
        <x:v>10.0</x:v>
      </x:c>
      <x:c r="F23" t="str">
        <x:v>LOW_STOCK</x:v>
      </x:c>
      <x:c r="G23" t="str">
        <x:v>Reorder / replenish stock</x:v>
      </x:c>
      <x:c r="H23" t="str">
        <x:v>MONTHLY</x:v>
      </x:c>
      <x:c r="I23" t="str">
        <x:v>30.0</x:v>
      </x:c>
      <x:c r="J23" t="str">
        <x:v>HIGH_TURNOVER_CONSUMABLE</x:v>
      </x:c>
      <x:c r="K23" t="str">
        <x:v>46174.0</x:v>
      </x:c>
      <x:c r="L23" t="str">
        <x:v>46204.0</x:v>
      </x:c>
      <x:c r="M23" t="str">
        <x:v>13.0</x:v>
      </x:c>
      <x:c r="N23" t="str">
        <x:v>OK</x:v>
      </x:c>
      <x:c r="O23" t="str">
        <x:v>ALERT</x:v>
      </x:c>
      <x:c r="P23" t="str">
        <x:v>10.0</x:v>
      </x:c>
      <x:c r="Q23" t="str">
        <x:v>0.0</x:v>
      </x:c>
      <x:c r="R23" t="str">
        <x:v>Batch recheck from alert table</x:v>
      </x:c>
      <x:c r="S23" t="str">
        <x:v>siripak.chat@gmail.com</x:v>
      </x:c>
      <x:c r="T23" t="str">
        <x:v>46174.73559027778</x:v>
      </x:c>
      <x:c r="U23" t="str">
        <x:v>0.0</x:v>
      </x:c>
      <x:c r="V23" t="str">
        <x:v>LOW_STOCK</x:v>
      </x:c>
      <x:c r="W23" t="str">
        <x:v>COUNT_OK</x:v>
      </x:c>
    </x:row>
    <x:row r="24">
      <x:c r="A24" t="str">
        <x:v>ACC0023</x:v>
      </x:c>
      <x:c r="B24" t="str">
        <x:v>LAB</x:v>
      </x:c>
      <x:c r="C24" t="str">
        <x:v>Tip 5000 ul</x:v>
      </x:c>
      <x:c r="D24" t="str">
        <x:v>8.0</x:v>
      </x:c>
      <x:c r="E24" t="str">
        <x:v>5.0</x:v>
      </x:c>
      <x:c r="F24" t="str">
        <x:v>STOCK</x:v>
      </x:c>
      <x:c r="G24" t="str">
        <x:v>No action</x:v>
      </x:c>
      <x:c r="H24" t="str">
        <x:v>MONTHLY</x:v>
      </x:c>
      <x:c r="I24" t="str">
        <x:v>30.0</x:v>
      </x:c>
      <x:c r="J24" t="str">
        <x:v>HIGH_TURNOVER_CONSUMABLE</x:v>
      </x:c>
      <x:c r="K24" t="str">
        <x:v>46174.0</x:v>
      </x:c>
      <x:c r="L24" t="str">
        <x:v>46204.0</x:v>
      </x:c>
      <x:c r="M24" t="str">
        <x:v>13.0</x:v>
      </x:c>
      <x:c r="N24" t="str">
        <x:v>OK</x:v>
      </x:c>
      <x:c r="O24" t="str">
        <x:v>OK</x:v>
      </x:c>
      <x:c r="P24" t="str">
        <x:v>8.0</x:v>
      </x:c>
      <x:c r="Q24" t="str">
        <x:v>0.0</x:v>
      </x:c>
      <x:c r="R24" t="str">
        <x:v>Batch recheck from alert table</x:v>
      </x:c>
      <x:c r="S24" t="str">
        <x:v>siripak.chat@gmail.com</x:v>
      </x:c>
      <x:c r="T24" t="str">
        <x:v>46174.7362037037</x:v>
      </x:c>
      <x:c r="U24" t="str">
        <x:v>3.0</x:v>
      </x:c>
      <x:c r="V24" t="str">
        <x:v>STOCK_OK</x:v>
      </x:c>
      <x:c r="W24" t="str">
        <x:v>COUNT_OK</x:v>
      </x:c>
    </x:row>
    <x:row r="25">
      <x:c r="A25" t="str">
        <x:v>ACC0024</x:v>
      </x:c>
      <x:c r="B25" t="str">
        <x:v>LAB</x:v>
      </x:c>
      <x:c r="C25" t="str">
        <x:v>Tip 2 ml</x:v>
      </x:c>
      <x:c r="D25" t="str">
        <x:v>7.0</x:v>
      </x:c>
      <x:c r="E25" t="str">
        <x:v>5.0</x:v>
      </x:c>
      <x:c r="F25" t="str">
        <x:v>STOCK</x:v>
      </x:c>
      <x:c r="G25" t="str">
        <x:v>No action</x:v>
      </x:c>
      <x:c r="H25" t="str">
        <x:v>MONTHLY</x:v>
      </x:c>
      <x:c r="I25" t="str">
        <x:v>30.0</x:v>
      </x:c>
      <x:c r="J25" t="str">
        <x:v>HIGH_TURNOVER_CONSUMABLE</x:v>
      </x:c>
      <x:c r="K25" t="str">
        <x:v>46174.0</x:v>
      </x:c>
      <x:c r="L25" t="str">
        <x:v>46204.0</x:v>
      </x:c>
      <x:c r="M25" t="str">
        <x:v>13.0</x:v>
      </x:c>
      <x:c r="N25" t="str">
        <x:v>OK</x:v>
      </x:c>
      <x:c r="O25" t="str">
        <x:v>OK</x:v>
      </x:c>
      <x:c r="P25" t="str">
        <x:v>7.0</x:v>
      </x:c>
      <x:c r="Q25" t="str">
        <x:v>0.0</x:v>
      </x:c>
      <x:c r="R25" t="str">
        <x:v>Batch recheck from alert table</x:v>
      </x:c>
      <x:c r="S25" t="str">
        <x:v>siripak.chat@gmail.com</x:v>
      </x:c>
      <x:c r="T25" t="str">
        <x:v>46174.73619212963</x:v>
      </x:c>
      <x:c r="U25" t="str">
        <x:v>2.0</x:v>
      </x:c>
      <x:c r="V25" t="str">
        <x:v>STOCK_OK</x:v>
      </x:c>
      <x:c r="W25" t="str">
        <x:v>COUNT_OK</x:v>
      </x:c>
    </x:row>
    <x:row r="26">
      <x:c r="A26" t="str">
        <x:v>ACC0025</x:v>
      </x:c>
      <x:c r="B26" t="str">
        <x:v>LAB</x:v>
      </x:c>
      <x:c r="C26" t="str">
        <x:v>Tip 10/20 ml</x:v>
      </x:c>
      <x:c r="D26" t="str">
        <x:v>3.0</x:v>
      </x:c>
      <x:c r="E26" t="str">
        <x:v>3.0</x:v>
      </x:c>
      <x:c r="F26" t="str">
        <x:v>LOW_STOCK</x:v>
      </x:c>
      <x:c r="G26" t="str">
        <x:v>Reorder / replenish stock</x:v>
      </x:c>
      <x:c r="H26" t="str">
        <x:v>MONTHLY</x:v>
      </x:c>
      <x:c r="I26" t="str">
        <x:v>30.0</x:v>
      </x:c>
      <x:c r="J26" t="str">
        <x:v>HIGH_TURNOVER_CONSUMABLE</x:v>
      </x:c>
      <x:c r="K26" t="str">
        <x:v>46174.0</x:v>
      </x:c>
      <x:c r="L26" t="str">
        <x:v>46204.0</x:v>
      </x:c>
      <x:c r="M26" t="str">
        <x:v>13.0</x:v>
      </x:c>
      <x:c r="N26" t="str">
        <x:v>OK</x:v>
      </x:c>
      <x:c r="O26" t="str">
        <x:v>ALERT</x:v>
      </x:c>
      <x:c r="P26" t="str">
        <x:v>3.0</x:v>
      </x:c>
      <x:c r="Q26" t="str">
        <x:v>0.0</x:v>
      </x:c>
      <x:c r="R26" t="str">
        <x:v>Batch recheck from alert table</x:v>
      </x:c>
      <x:c r="S26" t="str">
        <x:v>siripak.chat@gmail.com</x:v>
      </x:c>
      <x:c r="T26" t="str">
        <x:v>46174.735601851855</x:v>
      </x:c>
      <x:c r="U26" t="str">
        <x:v>0.0</x:v>
      </x:c>
      <x:c r="V26" t="str">
        <x:v>LOW_STOCK</x:v>
      </x:c>
      <x:c r="W26" t="str">
        <x:v>COUNT_OK</x:v>
      </x:c>
    </x:row>
    <x:row r="27">
      <x:c r="A27" t="str">
        <x:v>ACC0026</x:v>
      </x:c>
      <x:c r="B27" t="str">
        <x:v>LAB</x:v>
      </x:c>
      <x:c r="C27" t="str">
        <x:v>DI Water 1000 ml</x:v>
      </x:c>
      <x:c r="D27" t="str">
        <x:v>14.0</x:v>
      </x:c>
      <x:c r="E27" t="str">
        <x:v>10.0</x:v>
      </x:c>
      <x:c r="F27" t="str">
        <x:v>STOCK</x:v>
      </x:c>
      <x:c r="G27" t="str">
        <x:v>No action</x:v>
      </x:c>
      <x:c r="H27" t="str">
        <x:v>HALF_YEARLY</x:v>
      </x:c>
      <x:c r="I27" t="str">
        <x:v>180.0</x:v>
      </x:c>
      <x:c r="J27" t="str">
        <x:v>HIGH_TURNOVER_CONSUMABLE</x:v>
      </x:c>
      <x:c r="K27" t="str">
        <x:v>46174.0</x:v>
      </x:c>
      <x:c r="L27" t="str">
        <x:v>46354.0</x:v>
      </x:c>
      <x:c r="M27" t="str">
        <x:v>163.0</x:v>
      </x:c>
      <x:c r="N27" t="str">
        <x:v>OK</x:v>
      </x:c>
      <x:c r="O27" t="str">
        <x:v>OK</x:v>
      </x:c>
      <x:c r="P27" t="str">
        <x:v>14.0</x:v>
      </x:c>
      <x:c r="Q27" t="str">
        <x:v>0.0</x:v>
      </x:c>
      <x:c r="R27" t="str">
        <x:v>Batch recheck from alert table</x:v>
      </x:c>
      <x:c r="S27" t="str">
        <x:v>siripak.chat@gmail.com</x:v>
      </x:c>
      <x:c r="T27" t="str">
        <x:v>46174.736134259256</x:v>
      </x:c>
      <x:c r="U27" t="str">
        <x:v>4.0</x:v>
      </x:c>
      <x:c r="V27" t="str">
        <x:v>STOCK_OK</x:v>
      </x:c>
      <x:c r="W27" t="str">
        <x:v>COUNT_OK</x:v>
      </x:c>
    </x:row>
    <x:row r="28">
      <x:c r="A28" t="str">
        <x:v>ACC0027</x:v>
      </x:c>
      <x:c r="B28" t="str">
        <x:v>LAB</x:v>
      </x:c>
      <x:c r="C28" t="str">
        <x:v>Silica Gel</x:v>
      </x:c>
      <x:c r="D28" t="str">
        <x:v>3.0</x:v>
      </x:c>
      <x:c r="E28" t="str">
        <x:v>2.0</x:v>
      </x:c>
      <x:c r="F28" t="str">
        <x:v>STOCK</x:v>
      </x:c>
      <x:c r="G28" t="str">
        <x:v>No action</x:v>
      </x:c>
      <x:c r="H28" t="str">
        <x:v>HALF_YEARLY</x:v>
      </x:c>
      <x:c r="I28" t="str">
        <x:v>180.0</x:v>
      </x:c>
      <x:c r="J28" t="str">
        <x:v>HIGH_TURNOVER_CONSUMABLE</x:v>
      </x:c>
      <x:c r="K28" t="str">
        <x:v>46174.0</x:v>
      </x:c>
      <x:c r="L28" t="str">
        <x:v>46354.0</x:v>
      </x:c>
      <x:c r="M28" t="str">
        <x:v>163.0</x:v>
      </x:c>
      <x:c r="N28" t="str">
        <x:v>OK</x:v>
      </x:c>
      <x:c r="O28" t="str">
        <x:v>OK</x:v>
      </x:c>
      <x:c r="P28" t="str">
        <x:v>3.0</x:v>
      </x:c>
      <x:c r="Q28" t="str">
        <x:v>0.0</x:v>
      </x:c>
      <x:c r="R28" t="str">
        <x:v>Batch recheck from alert table</x:v>
      </x:c>
      <x:c r="S28" t="str">
        <x:v>siripak.chat@gmail.com</x:v>
      </x:c>
      <x:c r="T28" t="str">
        <x:v>46174.73614583333</x:v>
      </x:c>
      <x:c r="U28" t="str">
        <x:v>1.0</x:v>
      </x:c>
      <x:c r="V28" t="str">
        <x:v>STOCK_OK</x:v>
      </x:c>
      <x:c r="W28" t="str">
        <x:v>COUNT_OK</x:v>
      </x:c>
    </x:row>
    <x:row r="29">
      <x:c r="A29" t="str">
        <x:v>ACC0028</x:v>
      </x:c>
      <x:c r="B29" t="str">
        <x:v>LAB</x:v>
      </x:c>
      <x:c r="C29" t="str">
        <x:v>Spray (Foaming Citrus)</x:v>
      </x:c>
      <x:c r="D29" t="str">
        <x:v>3.0</x:v>
      </x:c>
      <x:c r="E29" t="str">
        <x:v>2.0</x:v>
      </x:c>
      <x:c r="F29" t="str">
        <x:v>STOCK</x:v>
      </x:c>
      <x:c r="G29" t="str">
        <x:v>No action</x:v>
      </x:c>
      <x:c r="H29" t="str">
        <x:v>HALF_YEARLY</x:v>
      </x:c>
      <x:c r="I29" t="str">
        <x:v>180.0</x:v>
      </x:c>
      <x:c r="J29" t="str">
        <x:v>HIGH_TURNOVER_CONSUMABLE</x:v>
      </x:c>
      <x:c r="K29" t="str">
        <x:v>46174.0</x:v>
      </x:c>
      <x:c r="L29" t="str">
        <x:v>46354.0</x:v>
      </x:c>
      <x:c r="M29" t="str">
        <x:v>163.0</x:v>
      </x:c>
      <x:c r="N29" t="str">
        <x:v>OK</x:v>
      </x:c>
      <x:c r="O29" t="str">
        <x:v>OK</x:v>
      </x:c>
      <x:c r="P29" t="str">
        <x:v>3.0</x:v>
      </x:c>
      <x:c r="Q29" t="str">
        <x:v>0.0</x:v>
      </x:c>
      <x:c r="R29" t="str">
        <x:v>Batch recheck from alert table</x:v>
      </x:c>
      <x:c r="S29" t="str">
        <x:v>siripak.chat@gmail.com</x:v>
      </x:c>
      <x:c r="T29" t="str">
        <x:v>46174.73615740741</x:v>
      </x:c>
      <x:c r="U29" t="str">
        <x:v>1.0</x:v>
      </x:c>
      <x:c r="V29" t="str">
        <x:v>STOCK_OK</x:v>
      </x:c>
      <x:c r="W29" t="str">
        <x:v>COUNT_OK</x:v>
      </x:c>
    </x:row>
    <x:row r="30">
      <x:c r="A30" t="str">
        <x:v>ACC0029</x:v>
      </x:c>
      <x:c r="B30" t="str">
        <x:v>LAB</x:v>
      </x:c>
      <x:c r="C30" t="str">
        <x:v>O-Ring (225 pcs)</x:v>
      </x:c>
      <x:c r="D30" t="str">
        <x:v>1.0</x:v>
      </x:c>
      <x:c r="E30" t="str">
        <x:v>1.0</x:v>
      </x:c>
      <x:c r="F30" t="str">
        <x:v>LOW_STOCK</x:v>
      </x:c>
      <x:c r="G30" t="str">
        <x:v>Reorder / replenish stock</x:v>
      </x:c>
      <x:c r="H30" t="str">
        <x:v>HALF_YEARLY</x:v>
      </x:c>
      <x:c r="I30" t="str">
        <x:v>180.0</x:v>
      </x:c>
      <x:c r="J30" t="str">
        <x:v>HIGH_TURNOVER_CONSUMABLE</x:v>
      </x:c>
      <x:c r="K30" t="str">
        <x:v>46174.0</x:v>
      </x:c>
      <x:c r="L30" t="str">
        <x:v>46354.0</x:v>
      </x:c>
      <x:c r="M30" t="str">
        <x:v>163.0</x:v>
      </x:c>
      <x:c r="N30" t="str">
        <x:v>OK</x:v>
      </x:c>
      <x:c r="O30" t="str">
        <x:v>ALERT</x:v>
      </x:c>
      <x:c r="P30" t="str">
        <x:v>1.0</x:v>
      </x:c>
      <x:c r="Q30" t="str">
        <x:v>0.0</x:v>
      </x:c>
      <x:c r="R30" t="str">
        <x:v>Batch recheck from alert table</x:v>
      </x:c>
      <x:c r="S30" t="str">
        <x:v>siripak.chat@gmail.com</x:v>
      </x:c>
      <x:c r="T30" t="str">
        <x:v>46174.7355787037</x:v>
      </x:c>
      <x:c r="U30" t="str">
        <x:v>0.0</x:v>
      </x:c>
      <x:c r="V30" t="str">
        <x:v>LOW_STOCK</x:v>
      </x:c>
      <x:c r="W30" t="str">
        <x:v>COUNT_OK</x:v>
      </x:c>
    </x:row>
    <x:row r="31">
      <x:c r="A31" t="str">
        <x:v>ACC0030</x:v>
      </x:c>
      <x:c r="B31" t="str">
        <x:v>LAB</x:v>
      </x:c>
      <x:c r="C31" t="str">
        <x:v>Ethanol</x:v>
      </x:c>
      <x:c r="D31" t="str">
        <x:v>2.0</x:v>
      </x:c>
      <x:c r="E31" t="str">
        <x:v>2.0</x:v>
      </x:c>
      <x:c r="F31" t="str">
        <x:v>LOW_STOCK</x:v>
      </x:c>
      <x:c r="G31" t="str">
        <x:v>Reorder / replenish stock</x:v>
      </x:c>
      <x:c r="H31" t="str">
        <x:v>HALF_YEARLY</x:v>
      </x:c>
      <x:c r="I31" t="str">
        <x:v>180.0</x:v>
      </x:c>
      <x:c r="J31" t="str">
        <x:v>HIGH_TURNOVER_CONSUMABLE</x:v>
      </x:c>
      <x:c r="K31" t="str">
        <x:v>46174.0</x:v>
      </x:c>
      <x:c r="L31" t="str">
        <x:v>46354.0</x:v>
      </x:c>
      <x:c r="M31" t="str">
        <x:v>163.0</x:v>
      </x:c>
      <x:c r="N31" t="str">
        <x:v>OK</x:v>
      </x:c>
      <x:c r="O31" t="str">
        <x:v>ALERT</x:v>
      </x:c>
      <x:c r="P31" t="str">
        <x:v>2.0</x:v>
      </x:c>
      <x:c r="Q31" t="str">
        <x:v>0.0</x:v>
      </x:c>
      <x:c r="R31" t="str">
        <x:v>Batch recheck from alert table</x:v>
      </x:c>
      <x:c r="S31" t="str">
        <x:v>siripak.chat@gmail.com</x:v>
      </x:c>
      <x:c r="T31" t="str">
        <x:v>46174.73556712963</x:v>
      </x:c>
      <x:c r="U31" t="str">
        <x:v>0.0</x:v>
      </x:c>
      <x:c r="V31" t="str">
        <x:v>LOW_STOCK</x:v>
      </x:c>
      <x:c r="W31" t="str">
        <x:v>COUNT_OK</x:v>
      </x:c>
    </x:row>
    <x:row r="32">
      <x:c r="A32" t="str">
        <x:v>ACC0031</x:v>
      </x:c>
      <x:c r="B32" t="str">
        <x:v>LAB</x:v>
      </x:c>
      <x:c r="C32" t="str">
        <x:v>Silicone oil</x:v>
      </x:c>
      <x:c r="D32" t="str">
        <x:v>2.0</x:v>
      </x:c>
      <x:c r="E32" t="str">
        <x:v>2.0</x:v>
      </x:c>
      <x:c r="F32" t="str">
        <x:v>LOW_STOCK</x:v>
      </x:c>
      <x:c r="G32" t="str">
        <x:v>Reorder / replenish stock</x:v>
      </x:c>
      <x:c r="H32" t="str">
        <x:v>HALF_YEARLY</x:v>
      </x:c>
      <x:c r="I32" t="str">
        <x:v>180.0</x:v>
      </x:c>
      <x:c r="J32" t="str">
        <x:v>HIGH_TURNOVER_CONSUMABLE</x:v>
      </x:c>
      <x:c r="K32" t="str">
        <x:v>46174.0</x:v>
      </x:c>
      <x:c r="L32" t="str">
        <x:v>46354.0</x:v>
      </x:c>
      <x:c r="M32" t="str">
        <x:v>163.0</x:v>
      </x:c>
      <x:c r="N32" t="str">
        <x:v>OK</x:v>
      </x:c>
      <x:c r="O32" t="str">
        <x:v>ALERT</x:v>
      </x:c>
      <x:c r="P32" t="str">
        <x:v>2.0</x:v>
      </x:c>
      <x:c r="Q32" t="str">
        <x:v>0.0</x:v>
      </x:c>
      <x:c r="R32" t="str">
        <x:v>Batch recheck from alert table</x:v>
      </x:c>
      <x:c r="S32" t="str">
        <x:v>siripak.chat@gmail.com</x:v>
      </x:c>
      <x:c r="T32" t="str">
        <x:v>46174.73559027778</x:v>
      </x:c>
      <x:c r="U32" t="str">
        <x:v>0.0</x:v>
      </x:c>
      <x:c r="V32" t="str">
        <x:v>LOW_STOCK</x:v>
      </x:c>
      <x:c r="W32" t="str">
        <x:v>COUNT_OK</x:v>
      </x:c>
    </x:row>
    <x:row r="33">
      <x:c r="A33" t="str">
        <x:v>ACC0032</x:v>
      </x:c>
      <x:c r="B33" t="str">
        <x:v>TES</x:v>
      </x:c>
      <x:c r="C33" t="str">
        <x:v>Electric Bed SIGMA CARE (3 Motor)</x:v>
      </x:c>
      <x:c r="D33" t="str">
        <x:v>148.0</x:v>
      </x:c>
      <x:c r="E33" t="str">
        <x:v>1.0</x:v>
      </x:c>
      <x:c r="F33" t="str">
        <x:v>STOCK</x:v>
      </x:c>
      <x:c r="G33" t="str">
        <x:v>No action</x:v>
      </x:c>
      <x:c r="H33" t="str">
        <x:v>HALF_YEARLY</x:v>
      </x:c>
      <x:c r="I33" t="str">
        <x:v>180.0</x:v>
      </x:c>
      <x:c r="J33" t="str">
        <x:v>LOW_MOVEMENT_SPARE</x:v>
      </x:c>
      <x:c r="K33" t="str">
        <x:v>46174.0</x:v>
      </x:c>
      <x:c r="L33" t="str">
        <x:v>46354.0</x:v>
      </x:c>
      <x:c r="M33" t="str">
        <x:v>163.0</x:v>
      </x:c>
      <x:c r="N33" t="str">
        <x:v>OK</x:v>
      </x:c>
      <x:c r="O33" t="str">
        <x:v>OK</x:v>
      </x:c>
      <x:c r="P33" t="str">
        <x:v>148.0</x:v>
      </x:c>
      <x:c r="Q33" t="str">
        <x:v>0.0</x:v>
      </x:c>
      <x:c r="R33" t="str">
        <x:v>Batch recheck from alert table</x:v>
      </x:c>
      <x:c r="S33" t="str">
        <x:v>siripak.chat@gmail.com</x:v>
      </x:c>
      <x:c r="T33" t="str">
        <x:v>46174.73631944445</x:v>
      </x:c>
      <x:c r="U33" t="str">
        <x:v>147.0</x:v>
      </x:c>
      <x:c r="V33" t="str">
        <x:v>STOCK_OK</x:v>
      </x:c>
      <x:c r="W33" t="str">
        <x:v>COUNT_OK</x:v>
      </x:c>
    </x:row>
    <x:row r="34">
      <x:c r="A34" t="str">
        <x:v>ACC0033</x:v>
      </x:c>
      <x:c r="B34" t="str">
        <x:v>TES</x:v>
      </x:c>
      <x:c r="C34" t="str">
        <x:v>HI/LO Motor</x:v>
      </x:c>
      <x:c r="D34" t="str">
        <x:v>3.0</x:v>
      </x:c>
      <x:c r="E34" t="str">
        <x:v>3.0</x:v>
      </x:c>
      <x:c r="F34" t="str">
        <x:v>LOW_STOCK</x:v>
      </x:c>
      <x:c r="G34" t="str">
        <x:v>Reorder / replenish stock</x:v>
      </x:c>
      <x:c r="H34" t="str">
        <x:v>HALF_YEARLY</x:v>
      </x:c>
      <x:c r="I34" t="str">
        <x:v>180.0</x:v>
      </x:c>
      <x:c r="J34" t="str">
        <x:v>LOW_MOVEMENT_SPARE</x:v>
      </x:c>
      <x:c r="K34" t="str">
        <x:v>46174.0</x:v>
      </x:c>
      <x:c r="L34" t="str">
        <x:v>46354.0</x:v>
      </x:c>
      <x:c r="M34" t="str">
        <x:v>163.0</x:v>
      </x:c>
      <x:c r="N34" t="str">
        <x:v>OK</x:v>
      </x:c>
      <x:c r="O34" t="str">
        <x:v>ALERT</x:v>
      </x:c>
      <x:c r="P34" t="str">
        <x:v>3.0</x:v>
      </x:c>
      <x:c r="Q34" t="str">
        <x:v>0.0</x:v>
      </x:c>
      <x:c r="R34" t="str">
        <x:v>Batch recheck from alert table</x:v>
      </x:c>
      <x:c r="S34" t="str">
        <x:v>siripak.chat@gmail.com</x:v>
      </x:c>
      <x:c r="T34" t="str">
        <x:v>46174.735972222225</x:v>
      </x:c>
      <x:c r="U34" t="str">
        <x:v>0.0</x:v>
      </x:c>
      <x:c r="V34" t="str">
        <x:v>LOW_STOCK</x:v>
      </x:c>
      <x:c r="W34" t="str">
        <x:v>COUNT_OK</x:v>
      </x:c>
    </x:row>
    <x:row r="35">
      <x:c r="A35" t="str">
        <x:v>ACC0034</x:v>
      </x:c>
      <x:c r="B35" t="str">
        <x:v>TES</x:v>
      </x:c>
      <x:c r="C35" t="str">
        <x:v>Back Motor</x:v>
      </x:c>
      <x:c r="D35" t="str">
        <x:v>3.0</x:v>
      </x:c>
      <x:c r="E35" t="str">
        <x:v>3.0</x:v>
      </x:c>
      <x:c r="F35" t="str">
        <x:v>LOW_STOCK</x:v>
      </x:c>
      <x:c r="G35" t="str">
        <x:v>Reorder / replenish stock</x:v>
      </x:c>
      <x:c r="H35" t="str">
        <x:v>HALF_YEARLY</x:v>
      </x:c>
      <x:c r="I35" t="str">
        <x:v>180.0</x:v>
      </x:c>
      <x:c r="J35" t="str">
        <x:v>LOW_MOVEMENT_SPARE</x:v>
      </x:c>
      <x:c r="K35" t="str">
        <x:v>46174.0</x:v>
      </x:c>
      <x:c r="L35" t="str">
        <x:v>46354.0</x:v>
      </x:c>
      <x:c r="M35" t="str">
        <x:v>163.0</x:v>
      </x:c>
      <x:c r="N35" t="str">
        <x:v>OK</x:v>
      </x:c>
      <x:c r="O35" t="str">
        <x:v>ALERT</x:v>
      </x:c>
      <x:c r="P35" t="str">
        <x:v>3.0</x:v>
      </x:c>
      <x:c r="Q35" t="str">
        <x:v>0.0</x:v>
      </x:c>
      <x:c r="R35" t="str">
        <x:v>Batch recheck from alert table</x:v>
      </x:c>
      <x:c r="S35" t="str">
        <x:v>siripak.chat@gmail.com</x:v>
      </x:c>
      <x:c r="T35" t="str">
        <x:v>46174.73587962963</x:v>
      </x:c>
      <x:c r="U35" t="str">
        <x:v>0.0</x:v>
      </x:c>
      <x:c r="V35" t="str">
        <x:v>LOW_STOCK</x:v>
      </x:c>
      <x:c r="W35" t="str">
        <x:v>COUNT_OK</x:v>
      </x:c>
    </x:row>
    <x:row r="36">
      <x:c r="A36" t="str">
        <x:v>ACC0035</x:v>
      </x:c>
      <x:c r="B36" t="str">
        <x:v>TES</x:v>
      </x:c>
      <x:c r="C36" t="str">
        <x:v>Knee Motor</x:v>
      </x:c>
      <x:c r="D36" t="str">
        <x:v>3.0</x:v>
      </x:c>
      <x:c r="E36" t="str">
        <x:v>3.0</x:v>
      </x:c>
      <x:c r="F36" t="str">
        <x:v>LOW_STOCK</x:v>
      </x:c>
      <x:c r="G36" t="str">
        <x:v>Reorder / replenish stock</x:v>
      </x:c>
      <x:c r="H36" t="str">
        <x:v>HALF_YEARLY</x:v>
      </x:c>
      <x:c r="I36" t="str">
        <x:v>180.0</x:v>
      </x:c>
      <x:c r="J36" t="str">
        <x:v>LOW_MOVEMENT_SPARE</x:v>
      </x:c>
      <x:c r="K36" t="str">
        <x:v>46174.0</x:v>
      </x:c>
      <x:c r="L36" t="str">
        <x:v>46354.0</x:v>
      </x:c>
      <x:c r="M36" t="str">
        <x:v>163.0</x:v>
      </x:c>
      <x:c r="N36" t="str">
        <x:v>OK</x:v>
      </x:c>
      <x:c r="O36" t="str">
        <x:v>ALERT</x:v>
      </x:c>
      <x:c r="P36" t="str">
        <x:v>3.0</x:v>
      </x:c>
      <x:c r="Q36" t="str">
        <x:v>0.0</x:v>
      </x:c>
      <x:c r="R36" t="str">
        <x:v>Batch recheck from alert table</x:v>
      </x:c>
      <x:c r="S36" t="str">
        <x:v>siripak.chat@gmail.com</x:v>
      </x:c>
      <x:c r="T36" t="str">
        <x:v>46174.73600694445</x:v>
      </x:c>
      <x:c r="U36" t="str">
        <x:v>0.0</x:v>
      </x:c>
      <x:c r="V36" t="str">
        <x:v>LOW_STOCK</x:v>
      </x:c>
      <x:c r="W36" t="str">
        <x:v>COUNT_OK</x:v>
      </x:c>
    </x:row>
    <x:row r="37">
      <x:c r="A37" t="str">
        <x:v>ACC0036</x:v>
      </x:c>
      <x:c r="B37" t="str">
        <x:v>TES</x:v>
      </x:c>
      <x:c r="C37" t="str">
        <x:v>Hand held Remote</x:v>
      </x:c>
      <x:c r="D37" t="str">
        <x:v>3.0</x:v>
      </x:c>
      <x:c r="E37" t="str">
        <x:v>3.0</x:v>
      </x:c>
      <x:c r="F37" t="str">
        <x:v>LOW_STOCK</x:v>
      </x:c>
      <x:c r="G37" t="str">
        <x:v>Reorder / replenish stock</x:v>
      </x:c>
      <x:c r="H37" t="str">
        <x:v>HALF_YEARLY</x:v>
      </x:c>
      <x:c r="I37" t="str">
        <x:v>180.0</x:v>
      </x:c>
      <x:c r="J37" t="str">
        <x:v>LOW_MOVEMENT_SPARE</x:v>
      </x:c>
      <x:c r="K37" t="str">
        <x:v>46174.0</x:v>
      </x:c>
      <x:c r="L37" t="str">
        <x:v>46354.0</x:v>
      </x:c>
      <x:c r="M37" t="str">
        <x:v>163.0</x:v>
      </x:c>
      <x:c r="N37" t="str">
        <x:v>OK</x:v>
      </x:c>
      <x:c r="O37" t="str">
        <x:v>ALERT</x:v>
      </x:c>
      <x:c r="P37" t="str">
        <x:v>3.0</x:v>
      </x:c>
      <x:c r="Q37" t="str">
        <x:v>0.0</x:v>
      </x:c>
      <x:c r="R37" t="str">
        <x:v>Batch recheck from alert table</x:v>
      </x:c>
      <x:c r="S37" t="str">
        <x:v>siripak.chat@gmail.com</x:v>
      </x:c>
      <x:c r="T37" t="str">
        <x:v>46174.73594907407</x:v>
      </x:c>
      <x:c r="U37" t="str">
        <x:v>0.0</x:v>
      </x:c>
      <x:c r="V37" t="str">
        <x:v>LOW_STOCK</x:v>
      </x:c>
      <x:c r="W37" t="str">
        <x:v>COUNT_OK</x:v>
      </x:c>
    </x:row>
    <x:row r="38">
      <x:c r="A38" t="str">
        <x:v>ACC0037</x:v>
      </x:c>
      <x:c r="B38" t="str">
        <x:v>TES</x:v>
      </x:c>
      <x:c r="C38" t="str">
        <x:v>Membrane SW Remote</x:v>
      </x:c>
      <x:c r="D38" t="str">
        <x:v>3.0</x:v>
      </x:c>
      <x:c r="E38" t="str">
        <x:v>3.0</x:v>
      </x:c>
      <x:c r="F38" t="str">
        <x:v>LOW_STOCK</x:v>
      </x:c>
      <x:c r="G38" t="str">
        <x:v>Reorder / replenish stock</x:v>
      </x:c>
      <x:c r="H38" t="str">
        <x:v>HALF_YEARLY</x:v>
      </x:c>
      <x:c r="I38" t="str">
        <x:v>180.0</x:v>
      </x:c>
      <x:c r="J38" t="str">
        <x:v>LOW_MOVEMENT_SPARE</x:v>
      </x:c>
      <x:c r="K38" t="str">
        <x:v>46174.0</x:v>
      </x:c>
      <x:c r="L38" t="str">
        <x:v>46354.0</x:v>
      </x:c>
      <x:c r="M38" t="str">
        <x:v>163.0</x:v>
      </x:c>
      <x:c r="N38" t="str">
        <x:v>OK</x:v>
      </x:c>
      <x:c r="O38" t="str">
        <x:v>ALERT</x:v>
      </x:c>
      <x:c r="P38" t="str">
        <x:v>3.0</x:v>
      </x:c>
      <x:c r="Q38" t="str">
        <x:v>0.0</x:v>
      </x:c>
      <x:c r="R38" t="str">
        <x:v>Batch recheck from alert table</x:v>
      </x:c>
      <x:c r="S38" t="str">
        <x:v>siripak.chat@gmail.com</x:v>
      </x:c>
      <x:c r="T38" t="str">
        <x:v>46174.736030092594</x:v>
      </x:c>
      <x:c r="U38" t="str">
        <x:v>0.0</x:v>
      </x:c>
      <x:c r="V38" t="str">
        <x:v>LOW_STOCK</x:v>
      </x:c>
      <x:c r="W38" t="str">
        <x:v>COUNT_OK</x:v>
      </x:c>
    </x:row>
    <x:row r="39">
      <x:c r="A39" t="str">
        <x:v>ACC0038</x:v>
      </x:c>
      <x:c r="B39" t="str">
        <x:v>TES</x:v>
      </x:c>
      <x:c r="C39" t="str">
        <x:v>Electric Bed SIGMA CARE (4 Motor)</x:v>
      </x:c>
      <x:c r="D39" t="str">
        <x:v>155.0</x:v>
      </x:c>
      <x:c r="E39" t="str">
        <x:v>1.0</x:v>
      </x:c>
      <x:c r="F39" t="str">
        <x:v>STOCK</x:v>
      </x:c>
      <x:c r="G39" t="str">
        <x:v>No action</x:v>
      </x:c>
      <x:c r="H39" t="str">
        <x:v>HALF_YEARLY</x:v>
      </x:c>
      <x:c r="I39" t="str">
        <x:v>180.0</x:v>
      </x:c>
      <x:c r="J39" t="str">
        <x:v>LOW_MOVEMENT_SPARE</x:v>
      </x:c>
      <x:c r="K39" t="str">
        <x:v>46174.0</x:v>
      </x:c>
      <x:c r="L39" t="str">
        <x:v>46354.0</x:v>
      </x:c>
      <x:c r="M39" t="str">
        <x:v>163.0</x:v>
      </x:c>
      <x:c r="N39" t="str">
        <x:v>OK</x:v>
      </x:c>
      <x:c r="O39" t="str">
        <x:v>OK</x:v>
      </x:c>
      <x:c r="P39" t="str">
        <x:v>155.0</x:v>
      </x:c>
      <x:c r="Q39" t="str">
        <x:v>0.0</x:v>
      </x:c>
      <x:c r="R39" t="str">
        <x:v>Batch recheck from alert table</x:v>
      </x:c>
      <x:c r="S39" t="str">
        <x:v>siripak.chat@gmail.com</x:v>
      </x:c>
      <x:c r="T39" t="str">
        <x:v>46174.73631944445</x:v>
      </x:c>
      <x:c r="U39" t="str">
        <x:v>154.0</x:v>
      </x:c>
      <x:c r="V39" t="str">
        <x:v>STOCK_OK</x:v>
      </x:c>
      <x:c r="W39" t="str">
        <x:v>COUNT_OK</x:v>
      </x:c>
    </x:row>
    <x:row r="40">
      <x:c r="A40" t="str">
        <x:v>ACC0039</x:v>
      </x:c>
      <x:c r="B40" t="str">
        <x:v>TES</x:v>
      </x:c>
      <x:c r="C40" t="str">
        <x:v>HI/LO Motor</x:v>
      </x:c>
      <x:c r="D40" t="str">
        <x:v>3.0</x:v>
      </x:c>
      <x:c r="E40" t="str">
        <x:v>3.0</x:v>
      </x:c>
      <x:c r="F40" t="str">
        <x:v>LOW_STOCK</x:v>
      </x:c>
      <x:c r="G40" t="str">
        <x:v>Reorder / replenish stock</x:v>
      </x:c>
      <x:c r="H40" t="str">
        <x:v>HALF_YEARLY</x:v>
      </x:c>
      <x:c r="I40" t="str">
        <x:v>180.0</x:v>
      </x:c>
      <x:c r="J40" t="str">
        <x:v>LOW_MOVEMENT_SPARE</x:v>
      </x:c>
      <x:c r="K40" t="str">
        <x:v>46174.0</x:v>
      </x:c>
      <x:c r="L40" t="str">
        <x:v>46354.0</x:v>
      </x:c>
      <x:c r="M40" t="str">
        <x:v>163.0</x:v>
      </x:c>
      <x:c r="N40" t="str">
        <x:v>OK</x:v>
      </x:c>
      <x:c r="O40" t="str">
        <x:v>ALERT</x:v>
      </x:c>
      <x:c r="P40" t="str">
        <x:v>3.0</x:v>
      </x:c>
      <x:c r="Q40" t="str">
        <x:v>0.0</x:v>
      </x:c>
      <x:c r="R40" t="str">
        <x:v>Batch recheck from alert table</x:v>
      </x:c>
      <x:c r="S40" t="str">
        <x:v>siripak.chat@gmail.com</x:v>
      </x:c>
      <x:c r="T40" t="str">
        <x:v>46174.735983796294</x:v>
      </x:c>
      <x:c r="U40" t="str">
        <x:v>0.0</x:v>
      </x:c>
      <x:c r="V40" t="str">
        <x:v>LOW_STOCK</x:v>
      </x:c>
      <x:c r="W40" t="str">
        <x:v>COUNT_OK</x:v>
      </x:c>
    </x:row>
    <x:row r="41">
      <x:c r="A41" t="str">
        <x:v>ACC0040</x:v>
      </x:c>
      <x:c r="B41" t="str">
        <x:v>TES</x:v>
      </x:c>
      <x:c r="C41" t="str">
        <x:v>Back Motor</x:v>
      </x:c>
      <x:c r="D41" t="str">
        <x:v>3.0</x:v>
      </x:c>
      <x:c r="E41" t="str">
        <x:v>3.0</x:v>
      </x:c>
      <x:c r="F41" t="str">
        <x:v>LOW_STOCK</x:v>
      </x:c>
      <x:c r="G41" t="str">
        <x:v>Reorder / replenish stock</x:v>
      </x:c>
      <x:c r="H41" t="str">
        <x:v>HALF_YEARLY</x:v>
      </x:c>
      <x:c r="I41" t="str">
        <x:v>180.0</x:v>
      </x:c>
      <x:c r="J41" t="str">
        <x:v>LOW_MOVEMENT_SPARE</x:v>
      </x:c>
      <x:c r="K41" t="str">
        <x:v>46174.0</x:v>
      </x:c>
      <x:c r="L41" t="str">
        <x:v>46354.0</x:v>
      </x:c>
      <x:c r="M41" t="str">
        <x:v>163.0</x:v>
      </x:c>
      <x:c r="N41" t="str">
        <x:v>OK</x:v>
      </x:c>
      <x:c r="O41" t="str">
        <x:v>ALERT</x:v>
      </x:c>
      <x:c r="P41" t="str">
        <x:v>3.0</x:v>
      </x:c>
      <x:c r="Q41" t="str">
        <x:v>0.0</x:v>
      </x:c>
      <x:c r="R41" t="str">
        <x:v>Batch recheck from alert table</x:v>
      </x:c>
      <x:c r="S41" t="str">
        <x:v>siripak.chat@gmail.com</x:v>
      </x:c>
      <x:c r="T41" t="str">
        <x:v>46174.7358912037</x:v>
      </x:c>
      <x:c r="U41" t="str">
        <x:v>0.0</x:v>
      </x:c>
      <x:c r="V41" t="str">
        <x:v>LOW_STOCK</x:v>
      </x:c>
      <x:c r="W41" t="str">
        <x:v>COUNT_OK</x:v>
      </x:c>
    </x:row>
    <x:row r="42">
      <x:c r="A42" t="str">
        <x:v>ACC0041</x:v>
      </x:c>
      <x:c r="B42" t="str">
        <x:v>TES</x:v>
      </x:c>
      <x:c r="C42" t="str">
        <x:v>Knee Motor</x:v>
      </x:c>
      <x:c r="D42" t="str">
        <x:v>3.0</x:v>
      </x:c>
      <x:c r="E42" t="str">
        <x:v>3.0</x:v>
      </x:c>
      <x:c r="F42" t="str">
        <x:v>LOW_STOCK</x:v>
      </x:c>
      <x:c r="G42" t="str">
        <x:v>Reorder / replenish stock</x:v>
      </x:c>
      <x:c r="H42" t="str">
        <x:v>HALF_YEARLY</x:v>
      </x:c>
      <x:c r="I42" t="str">
        <x:v>180.0</x:v>
      </x:c>
      <x:c r="J42" t="str">
        <x:v>LOW_MOVEMENT_SPARE</x:v>
      </x:c>
      <x:c r="K42" t="str">
        <x:v>46174.0</x:v>
      </x:c>
      <x:c r="L42" t="str">
        <x:v>46354.0</x:v>
      </x:c>
      <x:c r="M42" t="str">
        <x:v>163.0</x:v>
      </x:c>
      <x:c r="N42" t="str">
        <x:v>OK</x:v>
      </x:c>
      <x:c r="O42" t="str">
        <x:v>ALERT</x:v>
      </x:c>
      <x:c r="P42" t="str">
        <x:v>3.0</x:v>
      </x:c>
      <x:c r="Q42" t="str">
        <x:v>0.0</x:v>
      </x:c>
      <x:c r="R42" t="str">
        <x:v>Batch recheck from alert table</x:v>
      </x:c>
      <x:c r="S42" t="str">
        <x:v>siripak.chat@gmail.com</x:v>
      </x:c>
      <x:c r="T42" t="str">
        <x:v>46174.73601851852</x:v>
      </x:c>
      <x:c r="U42" t="str">
        <x:v>0.0</x:v>
      </x:c>
      <x:c r="V42" t="str">
        <x:v>LOW_STOCK</x:v>
      </x:c>
      <x:c r="W42" t="str">
        <x:v>COUNT_OK</x:v>
      </x:c>
    </x:row>
    <x:row r="43">
      <x:c r="A43" t="str">
        <x:v>ACC0042</x:v>
      </x:c>
      <x:c r="B43" t="str">
        <x:v>TES</x:v>
      </x:c>
      <x:c r="C43" t="str">
        <x:v>Hand held Remote</x:v>
      </x:c>
      <x:c r="D43" t="str">
        <x:v>3.0</x:v>
      </x:c>
      <x:c r="E43" t="str">
        <x:v>3.0</x:v>
      </x:c>
      <x:c r="F43" t="str">
        <x:v>LOW_STOCK</x:v>
      </x:c>
      <x:c r="G43" t="str">
        <x:v>Reorder / replenish stock</x:v>
      </x:c>
      <x:c r="H43" t="str">
        <x:v>HALF_YEARLY</x:v>
      </x:c>
      <x:c r="I43" t="str">
        <x:v>180.0</x:v>
      </x:c>
      <x:c r="J43" t="str">
        <x:v>LOW_MOVEMENT_SPARE</x:v>
      </x:c>
      <x:c r="K43" t="str">
        <x:v>46174.0</x:v>
      </x:c>
      <x:c r="L43" t="str">
        <x:v>46354.0</x:v>
      </x:c>
      <x:c r="M43" t="str">
        <x:v>163.0</x:v>
      </x:c>
      <x:c r="N43" t="str">
        <x:v>OK</x:v>
      </x:c>
      <x:c r="O43" t="str">
        <x:v>ALERT</x:v>
      </x:c>
      <x:c r="P43" t="str">
        <x:v>3.0</x:v>
      </x:c>
      <x:c r="Q43" t="str">
        <x:v>0.0</x:v>
      </x:c>
      <x:c r="R43" t="str">
        <x:v>Batch recheck from alert table</x:v>
      </x:c>
      <x:c r="S43" t="str">
        <x:v>siripak.chat@gmail.com</x:v>
      </x:c>
      <x:c r="T43" t="str">
        <x:v>46174.73596064815</x:v>
      </x:c>
      <x:c r="U43" t="str">
        <x:v>0.0</x:v>
      </x:c>
      <x:c r="V43" t="str">
        <x:v>LOW_STOCK</x:v>
      </x:c>
      <x:c r="W43" t="str">
        <x:v>COUNT_OK</x:v>
      </x:c>
    </x:row>
    <x:row r="44">
      <x:c r="A44" t="str">
        <x:v>ACC0043</x:v>
      </x:c>
      <x:c r="B44" t="str">
        <x:v>TES</x:v>
      </x:c>
      <x:c r="C44" t="str">
        <x:v>Nurse control Remote</x:v>
      </x:c>
      <x:c r="D44" t="str">
        <x:v>3.0</x:v>
      </x:c>
      <x:c r="E44" t="str">
        <x:v>3.0</x:v>
      </x:c>
      <x:c r="F44" t="str">
        <x:v>LOW_STOCK</x:v>
      </x:c>
      <x:c r="G44" t="str">
        <x:v>Reorder / replenish stock</x:v>
      </x:c>
      <x:c r="H44" t="str">
        <x:v>HALF_YEARLY</x:v>
      </x:c>
      <x:c r="I44" t="str">
        <x:v>180.0</x:v>
      </x:c>
      <x:c r="J44" t="str">
        <x:v>LOW_MOVEMENT_SPARE</x:v>
      </x:c>
      <x:c r="K44" t="str">
        <x:v>46174.0</x:v>
      </x:c>
      <x:c r="L44" t="str">
        <x:v>46354.0</x:v>
      </x:c>
      <x:c r="M44" t="str">
        <x:v>163.0</x:v>
      </x:c>
      <x:c r="N44" t="str">
        <x:v>OK</x:v>
      </x:c>
      <x:c r="O44" t="str">
        <x:v>ALERT</x:v>
      </x:c>
      <x:c r="P44" t="str">
        <x:v>3.0</x:v>
      </x:c>
      <x:c r="Q44" t="str">
        <x:v>0.0</x:v>
      </x:c>
      <x:c r="R44" t="str">
        <x:v>Batch recheck from alert table</x:v>
      </x:c>
      <x:c r="S44" t="str">
        <x:v>siripak.chat@gmail.com</x:v>
      </x:c>
      <x:c r="T44" t="str">
        <x:v>46174.73606481482</x:v>
      </x:c>
      <x:c r="U44" t="str">
        <x:v>0.0</x:v>
      </x:c>
      <x:c r="V44" t="str">
        <x:v>LOW_STOCK</x:v>
      </x:c>
      <x:c r="W44" t="str">
        <x:v>COUNT_OK</x:v>
      </x:c>
    </x:row>
    <x:row r="45">
      <x:c r="A45" t="str">
        <x:v>ACC0044</x:v>
      </x:c>
      <x:c r="B45" t="str">
        <x:v>TES</x:v>
      </x:c>
      <x:c r="C45" t="str">
        <x:v>Membrane SW Remote</x:v>
      </x:c>
      <x:c r="D45" t="str">
        <x:v>3.0</x:v>
      </x:c>
      <x:c r="E45" t="str">
        <x:v>3.0</x:v>
      </x:c>
      <x:c r="F45" t="str">
        <x:v>LOW_STOCK</x:v>
      </x:c>
      <x:c r="G45" t="str">
        <x:v>Reorder / replenish stock</x:v>
      </x:c>
      <x:c r="H45" t="str">
        <x:v>HALF_YEARLY</x:v>
      </x:c>
      <x:c r="I45" t="str">
        <x:v>180.0</x:v>
      </x:c>
      <x:c r="J45" t="str">
        <x:v>LOW_MOVEMENT_SPARE</x:v>
      </x:c>
      <x:c r="K45" t="str">
        <x:v>46174.0</x:v>
      </x:c>
      <x:c r="L45" t="str">
        <x:v>46354.0</x:v>
      </x:c>
      <x:c r="M45" t="str">
        <x:v>163.0</x:v>
      </x:c>
      <x:c r="N45" t="str">
        <x:v>OK</x:v>
      </x:c>
      <x:c r="O45" t="str">
        <x:v>ALERT</x:v>
      </x:c>
      <x:c r="P45" t="str">
        <x:v>3.0</x:v>
      </x:c>
      <x:c r="Q45" t="str">
        <x:v>0.0</x:v>
      </x:c>
      <x:c r="R45" t="str">
        <x:v>Batch recheck from alert table</x:v>
      </x:c>
      <x:c r="S45" t="str">
        <x:v>siripak.chat@gmail.com</x:v>
      </x:c>
      <x:c r="T45" t="str">
        <x:v>46174.73605324074</x:v>
      </x:c>
      <x:c r="U45" t="str">
        <x:v>0.0</x:v>
      </x:c>
      <x:c r="V45" t="str">
        <x:v>LOW_STOCK</x:v>
      </x:c>
      <x:c r="W45" t="str">
        <x:v>COUNT_OK</x:v>
      </x:c>
    </x:row>
    <x:row r="46">
      <x:c r="A46" t="str">
        <x:v>ACC0045</x:v>
      </x:c>
      <x:c r="B46" t="str">
        <x:v>TES</x:v>
      </x:c>
      <x:c r="C46" t="str">
        <x:v>AED AED Plus</x:v>
      </x:c>
      <x:c r="D46" t="str">
        <x:v>722.0</x:v>
      </x:c>
      <x:c r="E46" t="str">
        <x:v>1.0</x:v>
      </x:c>
      <x:c r="F46" t="str">
        <x:v>STOCK</x:v>
      </x:c>
      <x:c r="G46" t="str">
        <x:v>No action</x:v>
      </x:c>
      <x:c r="H46" t="str">
        <x:v>QUARTERLY</x:v>
      </x:c>
      <x:c r="I46" t="str">
        <x:v>90.0</x:v>
      </x:c>
      <x:c r="J46" t="str">
        <x:v>LOW_MOVEMENT_SPARE</x:v>
      </x:c>
      <x:c r="K46" t="str">
        <x:v>46174.0</x:v>
      </x:c>
      <x:c r="L46" t="str">
        <x:v>46264.0</x:v>
      </x:c>
      <x:c r="M46" t="str">
        <x:v>73.0</x:v>
      </x:c>
      <x:c r="N46" t="str">
        <x:v>OK</x:v>
      </x:c>
      <x:c r="O46" t="str">
        <x:v>OK</x:v>
      </x:c>
      <x:c r="P46" t="str">
        <x:v>722.0</x:v>
      </x:c>
      <x:c r="Q46" t="str">
        <x:v>0.0</x:v>
      </x:c>
      <x:c r="R46" t="str">
        <x:v>Batch recheck from alert table</x:v>
      </x:c>
      <x:c r="S46" t="str">
        <x:v>siripak.chat@gmail.com</x:v>
      </x:c>
      <x:c r="T46" t="str">
        <x:v>46174.736296296294</x:v>
      </x:c>
      <x:c r="U46" t="str">
        <x:v>721.0</x:v>
      </x:c>
      <x:c r="V46" t="str">
        <x:v>STOCK_OK</x:v>
      </x:c>
      <x:c r="W46" t="str">
        <x:v>COUNT_OK</x:v>
      </x:c>
    </x:row>
    <x:row r="47">
      <x:c r="A47" t="str">
        <x:v>ACC0046</x:v>
      </x:c>
      <x:c r="B47" t="str">
        <x:v>TES</x:v>
      </x:c>
      <x:c r="C47" t="str">
        <x:v>Battery</x:v>
      </x:c>
      <x:c r="D47" t="str">
        <x:v>70.0</x:v>
      </x:c>
      <x:c r="E47" t="str">
        <x:v>70.0</x:v>
      </x:c>
      <x:c r="F47" t="str">
        <x:v>LOW_STOCK</x:v>
      </x:c>
      <x:c r="G47" t="str">
        <x:v>Reorder / replenish stock</x:v>
      </x:c>
      <x:c r="H47" t="str">
        <x:v>QUARTERLY</x:v>
      </x:c>
      <x:c r="I47" t="str">
        <x:v>90.0</x:v>
      </x:c>
      <x:c r="J47" t="str">
        <x:v>CRITICAL_REUSABLE</x:v>
      </x:c>
      <x:c r="K47" t="str">
        <x:v>46174.0</x:v>
      </x:c>
      <x:c r="L47" t="str">
        <x:v>46264.0</x:v>
      </x:c>
      <x:c r="M47" t="str">
        <x:v>73.0</x:v>
      </x:c>
      <x:c r="N47" t="str">
        <x:v>OK</x:v>
      </x:c>
      <x:c r="O47" t="str">
        <x:v>ALERT</x:v>
      </x:c>
      <x:c r="P47" t="str">
        <x:v>70.0</x:v>
      </x:c>
      <x:c r="Q47" t="str">
        <x:v>0.0</x:v>
      </x:c>
      <x:c r="R47" t="str">
        <x:v>Batch recheck from alert table</x:v>
      </x:c>
      <x:c r="S47" t="str">
        <x:v>siripak.chat@gmail.com</x:v>
      </x:c>
      <x:c r="T47" t="str">
        <x:v>46174.735914351855</x:v>
      </x:c>
      <x:c r="U47" t="str">
        <x:v>0.0</x:v>
      </x:c>
      <x:c r="V47" t="str">
        <x:v>LOW_STOCK</x:v>
      </x:c>
      <x:c r="W47" t="str">
        <x:v>COUNT_OK</x:v>
      </x:c>
    </x:row>
    <x:row r="48">
      <x:c r="A48" t="str">
        <x:v>ACC0047</x:v>
      </x:c>
      <x:c r="B48" t="str">
        <x:v>TES</x:v>
      </x:c>
      <x:c r="C48" t="str">
        <x:v>Pad</x:v>
      </x:c>
      <x:c r="D48" t="str">
        <x:v>30.0</x:v>
      </x:c>
      <x:c r="E48" t="str">
        <x:v>30.0</x:v>
      </x:c>
      <x:c r="F48" t="str">
        <x:v>LOW_STOCK</x:v>
      </x:c>
      <x:c r="G48" t="str">
        <x:v>Reorder / replenish stock</x:v>
      </x:c>
      <x:c r="H48" t="str">
        <x:v>QUARTERLY</x:v>
      </x:c>
      <x:c r="I48" t="str">
        <x:v>90.0</x:v>
      </x:c>
      <x:c r="J48" t="str">
        <x:v>CRITICAL_REUSABLE</x:v>
      </x:c>
      <x:c r="K48" t="str">
        <x:v>46174.0</x:v>
      </x:c>
      <x:c r="L48" t="str">
        <x:v>46264.0</x:v>
      </x:c>
      <x:c r="M48" t="str">
        <x:v>73.0</x:v>
      </x:c>
      <x:c r="N48" t="str">
        <x:v>OK</x:v>
      </x:c>
      <x:c r="O48" t="str">
        <x:v>ALERT</x:v>
      </x:c>
      <x:c r="P48" t="str">
        <x:v>30.0</x:v>
      </x:c>
      <x:c r="Q48" t="str">
        <x:v>0.0</x:v>
      </x:c>
      <x:c r="R48" t="str">
        <x:v>Batch recheck from alert table</x:v>
      </x:c>
      <x:c r="S48" t="str">
        <x:v>siripak.chat@gmail.com</x:v>
      </x:c>
      <x:c r="T48" t="str">
        <x:v>46174.73606481482</x:v>
      </x:c>
      <x:c r="U48" t="str">
        <x:v>0.0</x:v>
      </x:c>
      <x:c r="V48" t="str">
        <x:v>LOW_STOCK</x:v>
      </x:c>
      <x:c r="W48" t="str">
        <x:v>COUNT_OK</x:v>
      </x:c>
    </x:row>
    <x:row r="49">
      <x:c r="A49" t="str">
        <x:v>ACC0048</x:v>
      </x:c>
      <x:c r="B49" t="str">
        <x:v>TES</x:v>
      </x:c>
      <x:c r="C49" t="str">
        <x:v>AED AED3</x:v>
      </x:c>
      <x:c r="D49" t="str">
        <x:v>548.0</x:v>
      </x:c>
      <x:c r="E49" t="str">
        <x:v>1.0</x:v>
      </x:c>
      <x:c r="F49" t="str">
        <x:v>STOCK</x:v>
      </x:c>
      <x:c r="G49" t="str">
        <x:v>No action</x:v>
      </x:c>
      <x:c r="H49" t="str">
        <x:v>QUARTERLY</x:v>
      </x:c>
      <x:c r="I49" t="str">
        <x:v>90.0</x:v>
      </x:c>
      <x:c r="J49" t="str">
        <x:v>LOW_MOVEMENT_SPARE</x:v>
      </x:c>
      <x:c r="K49" t="str">
        <x:v>46174.0</x:v>
      </x:c>
      <x:c r="L49" t="str">
        <x:v>46264.0</x:v>
      </x:c>
      <x:c r="M49" t="str">
        <x:v>73.0</x:v>
      </x:c>
      <x:c r="N49" t="str">
        <x:v>OK</x:v>
      </x:c>
      <x:c r="O49" t="str">
        <x:v>OK</x:v>
      </x:c>
      <x:c r="P49" t="str">
        <x:v>548.0</x:v>
      </x:c>
      <x:c r="Q49" t="str">
        <x:v>0.0</x:v>
      </x:c>
      <x:c r="R49" t="str">
        <x:v>Batch recheck from alert table</x:v>
      </x:c>
      <x:c r="S49" t="str">
        <x:v>siripak.chat@gmail.com</x:v>
      </x:c>
      <x:c r="T49" t="str">
        <x:v>46174.736284722225</x:v>
      </x:c>
      <x:c r="U49" t="str">
        <x:v>547.0</x:v>
      </x:c>
      <x:c r="V49" t="str">
        <x:v>STOCK_OK</x:v>
      </x:c>
      <x:c r="W49" t="str">
        <x:v>COUNT_OK</x:v>
      </x:c>
    </x:row>
    <x:row r="50">
      <x:c r="A50" t="str">
        <x:v>ACC0049</x:v>
      </x:c>
      <x:c r="B50" t="str">
        <x:v>TES</x:v>
      </x:c>
      <x:c r="C50" t="str">
        <x:v>Battery</x:v>
      </x:c>
      <x:c r="D50" t="str">
        <x:v>50.0</x:v>
      </x:c>
      <x:c r="E50" t="str">
        <x:v>50.0</x:v>
      </x:c>
      <x:c r="F50" t="str">
        <x:v>LOW_STOCK</x:v>
      </x:c>
      <x:c r="G50" t="str">
        <x:v>Reorder / replenish stock</x:v>
      </x:c>
      <x:c r="H50" t="str">
        <x:v>QUARTERLY</x:v>
      </x:c>
      <x:c r="I50" t="str">
        <x:v>90.0</x:v>
      </x:c>
      <x:c r="J50" t="str">
        <x:v>CRITICAL_REUSABLE</x:v>
      </x:c>
      <x:c r="K50" t="str">
        <x:v>46174.0</x:v>
      </x:c>
      <x:c r="L50" t="str">
        <x:v>46264.0</x:v>
      </x:c>
      <x:c r="M50" t="str">
        <x:v>73.0</x:v>
      </x:c>
      <x:c r="N50" t="str">
        <x:v>OK</x:v>
      </x:c>
      <x:c r="O50" t="str">
        <x:v>ALERT</x:v>
      </x:c>
      <x:c r="P50" t="str">
        <x:v>50.0</x:v>
      </x:c>
      <x:c r="Q50" t="str">
        <x:v>0.0</x:v>
      </x:c>
      <x:c r="R50" t="str">
        <x:v>Batch recheck from alert table</x:v>
      </x:c>
      <x:c r="S50" t="str">
        <x:v>siripak.chat@gmail.com</x:v>
      </x:c>
      <x:c r="T50" t="str">
        <x:v>46174.735925925925</x:v>
      </x:c>
      <x:c r="U50" t="str">
        <x:v>0.0</x:v>
      </x:c>
      <x:c r="V50" t="str">
        <x:v>LOW_STOCK</x:v>
      </x:c>
      <x:c r="W50" t="str">
        <x:v>COUNT_OK</x:v>
      </x:c>
    </x:row>
    <x:row r="51">
      <x:c r="A51" t="str">
        <x:v>ACC0050</x:v>
      </x:c>
      <x:c r="B51" t="str">
        <x:v>TES</x:v>
      </x:c>
      <x:c r="C51" t="str">
        <x:v>Pad</x:v>
      </x:c>
      <x:c r="D51" t="str">
        <x:v>15.0</x:v>
      </x:c>
      <x:c r="E51" t="str">
        <x:v>15.0</x:v>
      </x:c>
      <x:c r="F51" t="str">
        <x:v>LOW_STOCK</x:v>
      </x:c>
      <x:c r="G51" t="str">
        <x:v>Reorder / replenish stock</x:v>
      </x:c>
      <x:c r="H51" t="str">
        <x:v>QUARTERLY</x:v>
      </x:c>
      <x:c r="I51" t="str">
        <x:v>90.0</x:v>
      </x:c>
      <x:c r="J51" t="str">
        <x:v>CRITICAL_REUSABLE</x:v>
      </x:c>
      <x:c r="K51" t="str">
        <x:v>46174.0</x:v>
      </x:c>
      <x:c r="L51" t="str">
        <x:v>46264.0</x:v>
      </x:c>
      <x:c r="M51" t="str">
        <x:v>73.0</x:v>
      </x:c>
      <x:c r="N51" t="str">
        <x:v>OK</x:v>
      </x:c>
      <x:c r="O51" t="str">
        <x:v>ALERT</x:v>
      </x:c>
      <x:c r="P51" t="str">
        <x:v>15.0</x:v>
      </x:c>
      <x:c r="Q51" t="str">
        <x:v>0.0</x:v>
      </x:c>
      <x:c r="R51" t="str">
        <x:v>Batch recheck from alert table</x:v>
      </x:c>
      <x:c r="S51" t="str">
        <x:v>siripak.chat@gmail.com</x:v>
      </x:c>
      <x:c r="T51" t="str">
        <x:v>46174.73607638889</x:v>
      </x:c>
      <x:c r="U51" t="str">
        <x:v>0.0</x:v>
      </x:c>
      <x:c r="V51" t="str">
        <x:v>LOW_STOCK</x:v>
      </x:c>
      <x:c r="W51" t="str">
        <x:v>COUNT_OK</x:v>
      </x:c>
    </x:row>
    <x:row r="52">
      <x:c r="A52" t="str">
        <x:v>ACC0051</x:v>
      </x:c>
      <x:c r="B52" t="str">
        <x:v>TES</x:v>
      </x:c>
      <x:c r="C52" t="str">
        <x:v>Cart Medication Cart-CARIVA</x:v>
      </x:c>
      <x:c r="D52" t="str">
        <x:v>78.0</x:v>
      </x:c>
      <x:c r="E52" t="str">
        <x:v>1.0</x:v>
      </x:c>
      <x:c r="F52" t="str">
        <x:v>STOCK</x:v>
      </x:c>
      <x:c r="G52" t="str">
        <x:v>No action</x:v>
      </x:c>
      <x:c r="H52" t="str">
        <x:v>HALF_YEARLY</x:v>
      </x:c>
      <x:c r="I52" t="str">
        <x:v>180.0</x:v>
      </x:c>
      <x:c r="J52" t="str">
        <x:v>LOW_MOVEMENT_SPARE</x:v>
      </x:c>
      <x:c r="K52" t="str">
        <x:v>46174.0</x:v>
      </x:c>
      <x:c r="L52" t="str">
        <x:v>46354.0</x:v>
      </x:c>
      <x:c r="M52" t="str">
        <x:v>163.0</x:v>
      </x:c>
      <x:c r="N52" t="str">
        <x:v>OK</x:v>
      </x:c>
      <x:c r="O52" t="str">
        <x:v>OK</x:v>
      </x:c>
      <x:c r="P52" t="str">
        <x:v>78.0</x:v>
      </x:c>
      <x:c r="Q52" t="str">
        <x:v>0.0</x:v>
      </x:c>
      <x:c r="R52" t="str">
        <x:v>Batch recheck from alert table</x:v>
      </x:c>
      <x:c r="S52" t="str">
        <x:v>siripak.chat@gmail.com</x:v>
      </x:c>
      <x:c r="T52" t="str">
        <x:v>46174.736296296294</x:v>
      </x:c>
      <x:c r="U52" t="str">
        <x:v>77.0</x:v>
      </x:c>
      <x:c r="V52" t="str">
        <x:v>STOCK_OK</x:v>
      </x:c>
      <x:c r="W52" t="str">
        <x:v>COUNT_OK</x:v>
      </x:c>
    </x:row>
    <x:row r="53">
      <x:c r="A53" t="str">
        <x:v>ACC0052</x:v>
      </x:c>
      <x:c r="B53" t="str">
        <x:v>TES</x:v>
      </x:c>
      <x:c r="C53" t="str">
        <x:v>Solenoid Door</x:v>
      </x:c>
      <x:c r="D53" t="str">
        <x:v>8.0</x:v>
      </x:c>
      <x:c r="E53" t="str">
        <x:v>8.0</x:v>
      </x:c>
      <x:c r="F53" t="str">
        <x:v>LOW_STOCK</x:v>
      </x:c>
      <x:c r="G53" t="str">
        <x:v>Reorder / replenish stock</x:v>
      </x:c>
      <x:c r="H53" t="str">
        <x:v>HALF_YEARLY</x:v>
      </x:c>
      <x:c r="I53" t="str">
        <x:v>180.0</x:v>
      </x:c>
      <x:c r="J53" t="str">
        <x:v>LOW_MOVEMENT_SPARE</x:v>
      </x:c>
      <x:c r="K53" t="str">
        <x:v>46174.0</x:v>
      </x:c>
      <x:c r="L53" t="str">
        <x:v>46354.0</x:v>
      </x:c>
      <x:c r="M53" t="str">
        <x:v>163.0</x:v>
      </x:c>
      <x:c r="N53" t="str">
        <x:v>OK</x:v>
      </x:c>
      <x:c r="O53" t="str">
        <x:v>ALERT</x:v>
      </x:c>
      <x:c r="P53" t="str">
        <x:v>8.0</x:v>
      </x:c>
      <x:c r="Q53" t="str">
        <x:v>0.0</x:v>
      </x:c>
      <x:c r="R53" t="str">
        <x:v>Batch recheck from alert table</x:v>
      </x:c>
      <x:c r="S53" t="str">
        <x:v>siripak.chat@gmail.com</x:v>
      </x:c>
      <x:c r="T53" t="str">
        <x:v>46174.73608796296</x:v>
      </x:c>
      <x:c r="U53" t="str">
        <x:v>0.0</x:v>
      </x:c>
      <x:c r="V53" t="str">
        <x:v>LOW_STOCK</x:v>
      </x:c>
      <x:c r="W53" t="str">
        <x:v>COUNT_OK</x:v>
      </x:c>
    </x:row>
    <x:row r="54">
      <x:c r="A54" t="str">
        <x:v>ACC0053</x:v>
      </x:c>
      <x:c r="B54" t="str">
        <x:v>OTHER</x:v>
      </x:c>
      <x:c r="C54" t="str">
        <x:v>Disinfectant Spray (Germaway)</x:v>
      </x:c>
      <x:c r="D54" t="str">
        <x:v>2.0</x:v>
      </x:c>
      <x:c r="E54" t="str">
        <x:v>2.0</x:v>
      </x:c>
      <x:c r="F54" t="str">
        <x:v>LOW_STOCK</x:v>
      </x:c>
      <x:c r="G54" t="str">
        <x:v>Reorder / replenish stock</x:v>
      </x:c>
      <x:c r="H54" t="str">
        <x:v>HALF_YEARLY</x:v>
      </x:c>
      <x:c r="I54" t="str">
        <x:v>180.0</x:v>
      </x:c>
      <x:c r="J54" t="str">
        <x:v>HIGH_TURNOVER_CONSUMABLE</x:v>
      </x:c>
      <x:c r="K54" t="str">
        <x:v>46174.0</x:v>
      </x:c>
      <x:c r="L54" t="str">
        <x:v>46354.0</x:v>
      </x:c>
      <x:c r="M54" t="str">
        <x:v>163.0</x:v>
      </x:c>
      <x:c r="N54" t="str">
        <x:v>OK</x:v>
      </x:c>
      <x:c r="O54" t="str">
        <x:v>ALERT</x:v>
      </x:c>
      <x:c r="P54" t="str">
        <x:v>2.0</x:v>
      </x:c>
      <x:c r="Q54" t="str">
        <x:v>0.0</x:v>
      </x:c>
      <x:c r="R54" t="str">
        <x:v>Batch recheck from alert table</x:v>
      </x:c>
      <x:c r="S54" t="str">
        <x:v>siripak.chat@gmail.com</x:v>
      </x:c>
      <x:c r="T54" t="str">
        <x:v>46174.73582175926</x:v>
      </x:c>
      <x:c r="U54" t="str">
        <x:v>0.0</x:v>
      </x:c>
      <x:c r="V54" t="str">
        <x:v>LOW_STOCK</x:v>
      </x:c>
      <x:c r="W54" t="str">
        <x:v>COUNT_OK</x:v>
      </x:c>
    </x:row>
    <x:row r="55">
      <x:c r="A55" t="str">
        <x:v>ACC0054</x:v>
      </x:c>
      <x:c r="B55" t="str">
        <x:v>OTHER</x:v>
      </x:c>
      <x:c r="C55" t="str">
        <x:v>Mask</x:v>
      </x:c>
      <x:c r="D55" t="str">
        <x:v>4.0</x:v>
      </x:c>
      <x:c r="E55" t="str">
        <x:v>5.0</x:v>
      </x:c>
      <x:c r="F55" t="str">
        <x:v>LOW_STOCK</x:v>
      </x:c>
      <x:c r="G55" t="str">
        <x:v>Reorder / replenish stock</x:v>
      </x:c>
      <x:c r="H55" t="str">
        <x:v>MONTHLY</x:v>
      </x:c>
      <x:c r="I55" t="str">
        <x:v>30.0</x:v>
      </x:c>
      <x:c r="J55" t="str">
        <x:v>HIGH_TURNOVER_CONSUMABLE</x:v>
      </x:c>
      <x:c r="K55" t="str">
        <x:v>46174.0</x:v>
      </x:c>
      <x:c r="L55" t="str">
        <x:v>46204.0</x:v>
      </x:c>
      <x:c r="M55" t="str">
        <x:v>13.0</x:v>
      </x:c>
      <x:c r="N55" t="str">
        <x:v>OK</x:v>
      </x:c>
      <x:c r="O55" t="str">
        <x:v>ALERT</x:v>
      </x:c>
      <x:c r="P55" t="str">
        <x:v>4.0</x:v>
      </x:c>
      <x:c r="Q55" t="str">
        <x:v>0.0</x:v>
      </x:c>
      <x:c r="R55" t="str">
        <x:v>Batch recheck from alert table</x:v>
      </x:c>
      <x:c r="S55" t="str">
        <x:v>siripak.chat@gmail.com</x:v>
      </x:c>
      <x:c r="T55" t="str">
        <x:v>46174.73584490741</x:v>
      </x:c>
      <x:c r="U55" t="str">
        <x:v>-1.0</x:v>
      </x:c>
      <x:c r="V55" t="str">
        <x:v>LOW_STOCK</x:v>
      </x:c>
      <x:c r="W55" t="str">
        <x:v>COUNT_OK</x:v>
      </x:c>
    </x:row>
    <x:row r="56">
      <x:c r="A56" t="str">
        <x:v>ACC0055</x:v>
      </x:c>
      <x:c r="B56" t="str">
        <x:v>OTHER</x:v>
      </x:c>
      <x:c r="C56" t="str">
        <x:v>Glove size S</x:v>
      </x:c>
      <x:c r="D56" t="str">
        <x:v>11.0</x:v>
      </x:c>
      <x:c r="E56" t="str">
        <x:v>10.0</x:v>
      </x:c>
      <x:c r="F56" t="str">
        <x:v>STOCK</x:v>
      </x:c>
      <x:c r="G56" t="str">
        <x:v>No action</x:v>
      </x:c>
      <x:c r="H56" t="str">
        <x:v>MONTHLY</x:v>
      </x:c>
      <x:c r="I56" t="str">
        <x:v>30.0</x:v>
      </x:c>
      <x:c r="J56" t="str">
        <x:v>HIGH_TURNOVER_CONSUMABLE</x:v>
      </x:c>
      <x:c r="K56" t="str">
        <x:v>46174.0</x:v>
      </x:c>
      <x:c r="L56" t="str">
        <x:v>46204.0</x:v>
      </x:c>
      <x:c r="M56" t="str">
        <x:v>13.0</x:v>
      </x:c>
      <x:c r="N56" t="str">
        <x:v>OK</x:v>
      </x:c>
      <x:c r="O56" t="str">
        <x:v>OK</x:v>
      </x:c>
      <x:c r="P56" t="str">
        <x:v>11.0</x:v>
      </x:c>
      <x:c r="Q56" t="str">
        <x:v>0.0</x:v>
      </x:c>
      <x:c r="R56" t="str">
        <x:v>Batch recheck from alert table</x:v>
      </x:c>
      <x:c r="S56" t="str">
        <x:v>siripak.chat@gmail.com</x:v>
      </x:c>
      <x:c r="T56" t="str">
        <x:v>46174.73627314815</x:v>
      </x:c>
      <x:c r="U56" t="str">
        <x:v>1.0</x:v>
      </x:c>
      <x:c r="V56" t="str">
        <x:v>STOCK_OK</x:v>
      </x:c>
      <x:c r="W56" t="str">
        <x:v>COUNT_OK</x:v>
      </x:c>
    </x:row>
    <x:row r="57">
      <x:c r="A57" t="str">
        <x:v>ACC0056</x:v>
      </x:c>
      <x:c r="B57" t="str">
        <x:v>OTHER</x:v>
      </x:c>
      <x:c r="C57" t="str">
        <x:v>Glove size M</x:v>
      </x:c>
      <x:c r="D57" t="str">
        <x:v>8.0</x:v>
      </x:c>
      <x:c r="E57" t="str">
        <x:v>10.0</x:v>
      </x:c>
      <x:c r="F57" t="str">
        <x:v>LOW_STOCK</x:v>
      </x:c>
      <x:c r="G57" t="str">
        <x:v>Reorder / replenish stock</x:v>
      </x:c>
      <x:c r="H57" t="str">
        <x:v>MONTHLY</x:v>
      </x:c>
      <x:c r="I57" t="str">
        <x:v>30.0</x:v>
      </x:c>
      <x:c r="J57" t="str">
        <x:v>HIGH_TURNOVER_CONSUMABLE</x:v>
      </x:c>
      <x:c r="K57" t="str">
        <x:v>46174.0</x:v>
      </x:c>
      <x:c r="L57" t="str">
        <x:v>46204.0</x:v>
      </x:c>
      <x:c r="M57" t="str">
        <x:v>13.0</x:v>
      </x:c>
      <x:c r="N57" t="str">
        <x:v>OK</x:v>
      </x:c>
      <x:c r="O57" t="str">
        <x:v>ALERT</x:v>
      </x:c>
      <x:c r="P57" t="str">
        <x:v>8.0</x:v>
      </x:c>
      <x:c r="Q57" t="str">
        <x:v>0.0</x:v>
      </x:c>
      <x:c r="R57" t="str">
        <x:v>Batch recheck from alert table</x:v>
      </x:c>
      <x:c r="S57" t="str">
        <x:v>siripak.chat@gmail.com</x:v>
      </x:c>
      <x:c r="T57" t="str">
        <x:v>46174.73583333333</x:v>
      </x:c>
      <x:c r="U57" t="str">
        <x:v>-2.0</x:v>
      </x:c>
      <x:c r="V57" t="str">
        <x:v>LOW_STOCK</x:v>
      </x:c>
      <x:c r="W57" t="str">
        <x:v>COUNT_OK</x:v>
      </x:c>
    </x:row>
    <x:row r="58">
      <x:c r="A58" t="str">
        <x:v>ACC0057</x:v>
      </x:c>
      <x:c r="B58" t="str">
        <x:v>OTHER</x:v>
      </x:c>
      <x:c r="C58" t="str">
        <x:v>Glove size L</x:v>
      </x:c>
      <x:c r="D58" t="str">
        <x:v>13.0</x:v>
      </x:c>
      <x:c r="E58" t="str">
        <x:v>10.0</x:v>
      </x:c>
      <x:c r="F58" t="str">
        <x:v>STOCK</x:v>
      </x:c>
      <x:c r="G58" t="str">
        <x:v>No action</x:v>
      </x:c>
      <x:c r="H58" t="str">
        <x:v>MONTHLY</x:v>
      </x:c>
      <x:c r="I58" t="str">
        <x:v>30.0</x:v>
      </x:c>
      <x:c r="J58" t="str">
        <x:v>HIGH_TURNOVER_CONSUMABLE</x:v>
      </x:c>
      <x:c r="K58" t="str">
        <x:v>46174.0</x:v>
      </x:c>
      <x:c r="L58" t="str">
        <x:v>46204.0</x:v>
      </x:c>
      <x:c r="M58" t="str">
        <x:v>13.0</x:v>
      </x:c>
      <x:c r="N58" t="str">
        <x:v>OK</x:v>
      </x:c>
      <x:c r="O58" t="str">
        <x:v>OK</x:v>
      </x:c>
      <x:c r="P58" t="str">
        <x:v>13.0</x:v>
      </x:c>
      <x:c r="Q58" t="str">
        <x:v>0.0</x:v>
      </x:c>
      <x:c r="R58" t="str">
        <x:v>Batch recheck from alert table</x:v>
      </x:c>
      <x:c r="S58" t="str">
        <x:v>siripak.chat@gmail.com</x:v>
      </x:c>
      <x:c r="T58" t="str">
        <x:v>46174.73626157407</x:v>
      </x:c>
      <x:c r="U58" t="str">
        <x:v>3.0</x:v>
      </x:c>
      <x:c r="V58" t="str">
        <x:v>STOCK_OK</x:v>
      </x:c>
      <x:c r="W58" t="str">
        <x:v>COUNT_OK</x:v>
      </x:c>
    </x:row>
    <x:row r="59">
      <x:c r="A59" t="str">
        <x:v>ACC0058</x:v>
      </x:c>
      <x:c r="B59" t="str">
        <x:v>OTHER</x:v>
      </x:c>
      <x:c r="C59" t="str">
        <x:v>Disinfectant Towelettes (Germaway)</x:v>
      </x:c>
      <x:c r="D59" t="str">
        <x:v>13.0</x:v>
      </x:c>
      <x:c r="E59" t="str">
        <x:v>10.0</x:v>
      </x:c>
      <x:c r="F59" t="str">
        <x:v>STOCK</x:v>
      </x:c>
      <x:c r="G59" t="str">
        <x:v>No action</x:v>
      </x:c>
      <x:c r="H59" t="str">
        <x:v>HALF_YEARLY</x:v>
      </x:c>
      <x:c r="I59" t="str">
        <x:v>180.0</x:v>
      </x:c>
      <x:c r="J59" t="str">
        <x:v>HIGH_TURNOVER_CONSUMABLE</x:v>
      </x:c>
      <x:c r="K59" t="str">
        <x:v>46174.0</x:v>
      </x:c>
      <x:c r="L59" t="str">
        <x:v>46354.0</x:v>
      </x:c>
      <x:c r="M59" t="str">
        <x:v>163.0</x:v>
      </x:c>
      <x:c r="N59" t="str">
        <x:v>OK</x:v>
      </x:c>
      <x:c r="O59" t="str">
        <x:v>OK</x:v>
      </x:c>
      <x:c r="P59" t="str">
        <x:v>13.0</x:v>
      </x:c>
      <x:c r="Q59" t="str">
        <x:v>0.0</x:v>
      </x:c>
      <x:c r="R59" t="str">
        <x:v>Batch recheck from alert table</x:v>
      </x:c>
      <x:c r="S59" t="str">
        <x:v>siripak.chat@gmail.com</x:v>
      </x:c>
      <x:c r="T59" t="str">
        <x:v>46174.73625</x:v>
      </x:c>
      <x:c r="U59" t="str">
        <x:v>3.0</x:v>
      </x:c>
      <x:c r="V59" t="str">
        <x:v>STOCK_OK</x:v>
      </x:c>
      <x:c r="W59" t="str">
        <x:v>COUNT_OK</x:v>
      </x:c>
    </x:row>
    <x:row r="60">
      <x:c r="A60" t="str">
        <x:v>ACC0059</x:v>
      </x:c>
      <x:c r="B60" t="str">
        <x:v>OTHER</x:v>
      </x:c>
      <x:c r="C60" t="str">
        <x:v>Tissue</x:v>
      </x:c>
      <x:c r="D60" t="str">
        <x:v>9.0</x:v>
      </x:c>
      <x:c r="E60" t="str">
        <x:v>10.0</x:v>
      </x:c>
      <x:c r="F60" t="str">
        <x:v>LOW_STOCK</x:v>
      </x:c>
      <x:c r="G60" t="str">
        <x:v>Reorder / replenish stock</x:v>
      </x:c>
      <x:c r="H60" t="str">
        <x:v>MONTHLY</x:v>
      </x:c>
      <x:c r="I60" t="str">
        <x:v>30.0</x:v>
      </x:c>
      <x:c r="J60" t="str">
        <x:v>HIGH_TURNOVER_CONSUMABLE</x:v>
      </x:c>
      <x:c r="K60" t="str">
        <x:v>46174.0</x:v>
      </x:c>
      <x:c r="L60" t="str">
        <x:v>46204.0</x:v>
      </x:c>
      <x:c r="M60" t="str">
        <x:v>13.0</x:v>
      </x:c>
      <x:c r="N60" t="str">
        <x:v>OK</x:v>
      </x:c>
      <x:c r="O60" t="str">
        <x:v>ALERT</x:v>
      </x:c>
      <x:c r="P60" t="str">
        <x:v>9.0</x:v>
      </x:c>
      <x:c r="Q60" t="str">
        <x:v>0.0</x:v>
      </x:c>
      <x:c r="R60" t="str">
        <x:v>Batch recheck from alert table</x:v>
      </x:c>
      <x:c r="S60" t="str">
        <x:v>siripak.chat@gmail.com</x:v>
      </x:c>
      <x:c r="T60" t="str">
        <x:v>46174.735868055555</x:v>
      </x:c>
      <x:c r="U60" t="str">
        <x:v>-1.0</x:v>
      </x:c>
      <x:c r="V60" t="str">
        <x:v>LOW_STOCK</x:v>
      </x:c>
      <x:c r="W60" t="str">
        <x:v>COUNT_OK</x:v>
      </x:c>
    </x:row>
    <x:row r="61">
      <x:c r="A61" t="str">
        <x:v>ACC0060</x:v>
      </x:c>
      <x:c r="B61" t="str">
        <x:v>OTHER</x:v>
      </x:c>
      <x:c r="C61" t="str">
        <x:v>Battery AAA (3A)</x:v>
      </x:c>
      <x:c r="D61" t="str">
        <x:v>23.0</x:v>
      </x:c>
      <x:c r="E61" t="str">
        <x:v>12.0</x:v>
      </x:c>
      <x:c r="F61" t="str">
        <x:v>STOCK</x:v>
      </x:c>
      <x:c r="G61" t="str">
        <x:v>No action</x:v>
      </x:c>
      <x:c r="H61" t="str">
        <x:v>QUARTERLY</x:v>
      </x:c>
      <x:c r="I61" t="str">
        <x:v>90.0</x:v>
      </x:c>
      <x:c r="J61" t="str">
        <x:v>CRITICAL_REUSABLE</x:v>
      </x:c>
      <x:c r="K61" t="str">
        <x:v>46174.0</x:v>
      </x:c>
      <x:c r="L61" t="str">
        <x:v>46264.0</x:v>
      </x:c>
      <x:c r="M61" t="str">
        <x:v>73.0</x:v>
      </x:c>
      <x:c r="N61" t="str">
        <x:v>OK</x:v>
      </x:c>
      <x:c r="O61" t="str">
        <x:v>OK</x:v>
      </x:c>
      <x:c r="P61" t="str">
        <x:v>23.0</x:v>
      </x:c>
      <x:c r="Q61" t="str">
        <x:v>0.0</x:v>
      </x:c>
      <x:c r="R61" t="str">
        <x:v>Batch recheck from alert table</x:v>
      </x:c>
      <x:c r="S61" t="str">
        <x:v>siripak.chat@gmail.com</x:v>
      </x:c>
      <x:c r="T61" t="str">
        <x:v>46174.736238425925</x:v>
      </x:c>
      <x:c r="U61" t="str">
        <x:v>11.0</x:v>
      </x:c>
      <x:c r="V61" t="str">
        <x:v>STOCK_OK</x:v>
      </x:c>
      <x:c r="W61" t="str">
        <x:v>COUNT_OK</x:v>
      </x:c>
    </x:row>
    <x:row r="62">
      <x:c r="A62" t="str">
        <x:v>ACC0061</x:v>
      </x:c>
      <x:c r="B62" t="str">
        <x:v>OTHER</x:v>
      </x:c>
      <x:c r="C62" t="str">
        <x:v>Battery AA (2A)</x:v>
      </x:c>
      <x:c r="D62" t="str">
        <x:v>28.0</x:v>
      </x:c>
      <x:c r="E62" t="str">
        <x:v>12.0</x:v>
      </x:c>
      <x:c r="F62" t="str">
        <x:v>STOCK</x:v>
      </x:c>
      <x:c r="G62" t="str">
        <x:v>No action</x:v>
      </x:c>
      <x:c r="H62" t="str">
        <x:v>QUARTERLY</x:v>
      </x:c>
      <x:c r="I62" t="str">
        <x:v>90.0</x:v>
      </x:c>
      <x:c r="J62" t="str">
        <x:v>CRITICAL_REUSABLE</x:v>
      </x:c>
      <x:c r="K62" t="str">
        <x:v>46174.0</x:v>
      </x:c>
      <x:c r="L62" t="str">
        <x:v>46264.0</x:v>
      </x:c>
      <x:c r="M62" t="str">
        <x:v>73.0</x:v>
      </x:c>
      <x:c r="N62" t="str">
        <x:v>OK</x:v>
      </x:c>
      <x:c r="O62" t="str">
        <x:v>OK</x:v>
      </x:c>
      <x:c r="P62" t="str">
        <x:v>28.0</x:v>
      </x:c>
      <x:c r="Q62" t="str">
        <x:v>0.0</x:v>
      </x:c>
      <x:c r="R62" t="str">
        <x:v>Batch recheck from alert table</x:v>
      </x:c>
      <x:c r="S62" t="str">
        <x:v>siripak.chat@gmail.com</x:v>
      </x:c>
      <x:c r="T62" t="str">
        <x:v>46174.736226851855</x:v>
      </x:c>
      <x:c r="U62" t="str">
        <x:v>16.0</x:v>
      </x:c>
      <x:c r="V62" t="str">
        <x:v>STOCK_OK</x:v>
      </x:c>
      <x:c r="W62" t="str">
        <x:v>COUNT_OK</x:v>
      </x:c>
    </x:row>
    <x:row r="63">
      <x:c r="A63" t="str">
        <x:v>ACC0062</x:v>
      </x:c>
      <x:c r="B63" t="str">
        <x:v>OTHER</x:v>
      </x:c>
      <x:c r="C63" t="str">
        <x:v>Battery 9 Volt</x:v>
      </x:c>
      <x:c r="D63" t="str">
        <x:v>4.0</x:v>
      </x:c>
      <x:c r="E63" t="str">
        <x:v>5.0</x:v>
      </x:c>
      <x:c r="F63" t="str">
        <x:v>LOW_STOCK</x:v>
      </x:c>
      <x:c r="G63" t="str">
        <x:v>Reorder / replenish stock</x:v>
      </x:c>
      <x:c r="H63" t="str">
        <x:v>QUARTERLY</x:v>
      </x:c>
      <x:c r="I63" t="str">
        <x:v>90.0</x:v>
      </x:c>
      <x:c r="J63" t="str">
        <x:v>CRITICAL_REUSABLE</x:v>
      </x:c>
      <x:c r="K63" t="str">
        <x:v>46174.0</x:v>
      </x:c>
      <x:c r="L63" t="str">
        <x:v>46264.0</x:v>
      </x:c>
      <x:c r="M63" t="str">
        <x:v>73.0</x:v>
      </x:c>
      <x:c r="N63" t="str">
        <x:v>OK</x:v>
      </x:c>
      <x:c r="O63" t="str">
        <x:v>ALERT</x:v>
      </x:c>
      <x:c r="P63" t="str">
        <x:v>4.0</x:v>
      </x:c>
      <x:c r="Q63" t="str">
        <x:v>0.0</x:v>
      </x:c>
      <x:c r="R63" t="str">
        <x:v>Batch recheck from alert table</x:v>
      </x:c>
      <x:c r="S63" t="str">
        <x:v>siripak.chat@gmail.com</x:v>
      </x:c>
      <x:c r="T63" t="str">
        <x:v>46174.735810185186</x:v>
      </x:c>
      <x:c r="U63" t="str">
        <x:v>-1.0</x:v>
      </x:c>
      <x:c r="V63" t="str">
        <x:v>LOW_STOCK</x:v>
      </x:c>
      <x:c r="W63" t="str">
        <x:v>COUNT_OK</x:v>
      </x:c>
    </x:row>
    <x:row r="64">
      <x:c r="A64" t="str">
        <x:v>ACC0063</x:v>
      </x:c>
      <x:c r="B64" t="str">
        <x:v>OTHER</x:v>
      </x:c>
      <x:c r="C64" t="str">
        <x:v>Sticker</x:v>
      </x:c>
      <x:c r="D64" t="str">
        <x:v>1000.0</x:v>
      </x:c>
      <x:c r="E64" t="str">
        <x:v>1000.0</x:v>
      </x:c>
      <x:c r="F64" t="str">
        <x:v>LOW_STOCK</x:v>
      </x:c>
      <x:c r="G64" t="str">
        <x:v>Reorder / replenish stock</x:v>
      </x:c>
      <x:c r="H64" t="str">
        <x:v>HALF_YEARLY</x:v>
      </x:c>
      <x:c r="I64" t="str">
        <x:v>180.0</x:v>
      </x:c>
      <x:c r="J64" t="str">
        <x:v>LOW_MOVEMENT_SPARE</x:v>
      </x:c>
      <x:c r="K64" t="str">
        <x:v>46174.0</x:v>
      </x:c>
      <x:c r="L64" t="str">
        <x:v>46354.0</x:v>
      </x:c>
      <x:c r="M64" t="str">
        <x:v>163.0</x:v>
      </x:c>
      <x:c r="N64" t="str">
        <x:v>OK</x:v>
      </x:c>
      <x:c r="O64" t="str">
        <x:v>ALERT</x:v>
      </x:c>
      <x:c r="P64" t="str">
        <x:v>1000.0</x:v>
      </x:c>
      <x:c r="Q64" t="str">
        <x:v>0.0</x:v>
      </x:c>
      <x:c r="R64" t="str">
        <x:v>Batch recheck from alert table</x:v>
      </x:c>
      <x:c r="S64" t="str">
        <x:v>siripak.chat@gmail.com</x:v>
      </x:c>
      <x:c r="T64" t="str">
        <x:v>46174.73585648148</x:v>
      </x:c>
      <x:c r="U64" t="str">
        <x:v>0.0</x:v>
      </x:c>
      <x:c r="V64" t="str">
        <x:v>LOW_STOCK</x:v>
      </x:c>
      <x:c r="W64" t="str">
        <x:v>COUNT_OK</x:v>
      </x:c>
    </x:row>
  </x:sheetData>
  <x:pageMargins left="0.7" right="0.7" top="0.75" bottom="0.75" header="0.3" footer="0.3"/>
  <x:tableParts count="1">
    <x:tablePart xmlns:r="http://schemas.openxmlformats.org/officeDocument/2006/relationships" r:id="Rf435dc2e86974211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2" t="str">
        <x:v>Infusion Pump Status</x:v>
      </x:c>
      <x:c r="B1" s="12" t="str">
        <x:v>Rental Status</x:v>
      </x:c>
      <x:c r="D1" s="12" t="str">
        <x:v>Status</x:v>
      </x:c>
      <x:c r="E1" s="12" t="str">
        <x:v>Rule</x:v>
      </x:c>
    </x:row>
    <x:row r="2">
      <x:c r="A2" t="str">
        <x:v>พร้อมส่ง</x:v>
      </x:c>
      <x:c r="B2" t="str">
        <x:v>เช่ายืม</x:v>
      </x:c>
      <x:c r="D2" t="str">
        <x:v>พร้อมส่ง</x:v>
      </x:c>
      <x:c r="E2" t="str">
        <x:v>แก้ไข/เลือกเมื่อเครื่องผ่านสอบเทียบและพร้อมส่ง</x:v>
      </x:c>
    </x:row>
    <x:row r="3">
      <x:c r="A3" t="str">
        <x:v>รอสอบเทียบ</x:v>
      </x:c>
      <x:c r="B3" t="str">
        <x:v>ไม่มีสัญญา</x:v>
      </x:c>
      <x:c r="D3" t="str">
        <x:v>รอสอบเทียบ</x:v>
      </x:c>
      <x:c r="E3" t="str">
        <x:v>เครื่องทั้งหมดที่ไม่ได้เช่ายืม และไม่ใช่เสีย/ไม่พบ</x:v>
      </x:c>
    </x:row>
    <x:row r="4">
      <x:c r="A4" t="str">
        <x:v>เช่ายืม</x:v>
      </x:c>
      <x:c r="D4" t="str">
        <x:v>เช่ายืม</x:v>
      </x:c>
      <x:c r="E4" t="str">
        <x:v>เครื่องที่กำลังถูกเช่ายืมอยู่</x:v>
      </x:c>
    </x:row>
    <x:row r="5">
      <x:c r="A5" t="str">
        <x:v>ใช้งานไม่ได้</x:v>
      </x:c>
      <x:c r="D5" t="str">
        <x:v>ใช้งานไม่ได้</x:v>
      </x:c>
      <x:c r="E5" t="str">
        <x:v>เครื่องเสีย/ชำรุด/ไม่พร้อมใช้งาน</x:v>
      </x:c>
    </x:row>
    <x:row r="6">
      <x:c r="A6" t="str">
        <x:v>ไม่พบในรายการ</x:v>
      </x:c>
      <x:c r="D6" t="str">
        <x:v>ไม่พบในรายการ</x:v>
      </x:c>
      <x:c r="E6" t="str">
        <x:v>เครื่องหาย/หาไม่พบ/ไม่พบในรายการตรวจนับ</x:v>
      </x:c>
    </x:row>
  </x:sheetData>
  <x:pageMargins left="0.7" right="0.7" top="0.75" bottom="0.75" header="0.3" footer="0.3"/>
</x:worksheet>
</file>